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10cb7a44bef2d3/Escritorio/Python/Masp/"/>
    </mc:Choice>
  </mc:AlternateContent>
  <xr:revisionPtr revIDLastSave="4" documentId="8_{B4DB385A-6261-4B63-893A-24316D5D6E85}" xr6:coauthVersionLast="47" xr6:coauthVersionMax="47" xr10:uidLastSave="{83D55C16-08F8-4D73-9737-292077A7CF21}"/>
  <bookViews>
    <workbookView xWindow="11400" yWindow="3315" windowWidth="15375" windowHeight="7875" firstSheet="4" activeTab="4" xr2:uid="{00000000-000D-0000-FFFF-FFFF00000000}"/>
  </bookViews>
  <sheets>
    <sheet name="Cálculo de prima" sheetId="4" r:id="rId1"/>
    <sheet name="Cálculo de Prima (Básica)" sheetId="1" state="hidden" r:id="rId2"/>
    <sheet name="Valores Garantizados" sheetId="3" r:id="rId3"/>
    <sheet name="Margen de Riesgo" sheetId="6" r:id="rId4"/>
    <sheet name="Reservas" sheetId="2" r:id="rId5"/>
    <sheet name="Resumen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6" l="1"/>
  <c r="M16" i="6" s="1"/>
  <c r="V28" i="6"/>
  <c r="V19" i="6"/>
  <c r="V13" i="6"/>
  <c r="V25" i="6"/>
  <c r="V18" i="6"/>
  <c r="M18" i="6" s="1"/>
  <c r="AS11" i="2"/>
  <c r="AS12" i="2" s="1"/>
  <c r="AG58" i="6"/>
  <c r="AO8" i="3"/>
  <c r="M18" i="4"/>
  <c r="V25" i="4"/>
  <c r="V24" i="4"/>
  <c r="AG24" i="4" s="1"/>
  <c r="V23" i="4"/>
  <c r="V22" i="4"/>
  <c r="AG22" i="4" s="1"/>
  <c r="V21" i="4"/>
  <c r="V20" i="4"/>
  <c r="AG20" i="4" s="1"/>
  <c r="V19" i="4"/>
  <c r="AH19" i="4" s="1"/>
  <c r="V18" i="4"/>
  <c r="AG18" i="4" s="1"/>
  <c r="V17" i="4"/>
  <c r="V16" i="4"/>
  <c r="AG16" i="4" s="1"/>
  <c r="V15" i="4"/>
  <c r="V14" i="4"/>
  <c r="AG14" i="4" s="1"/>
  <c r="V13" i="4"/>
  <c r="V12" i="4"/>
  <c r="AG12" i="4" s="1"/>
  <c r="V11" i="4"/>
  <c r="V10" i="4"/>
  <c r="AH10" i="4" s="1"/>
  <c r="V9" i="4"/>
  <c r="AL8" i="4"/>
  <c r="V8" i="4"/>
  <c r="AH8" i="4" s="1"/>
  <c r="V11" i="6"/>
  <c r="M11" i="6" s="1"/>
  <c r="X4" i="2" s="1"/>
  <c r="AH31" i="2"/>
  <c r="S8" i="3"/>
  <c r="S9" i="3" s="1"/>
  <c r="AI8" i="3"/>
  <c r="AP9" i="3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G9" i="3"/>
  <c r="AI9" i="3" s="1"/>
  <c r="AU8" i="3"/>
  <c r="AU9" i="3" s="1"/>
  <c r="AU10" i="3" s="1"/>
  <c r="AU11" i="3" s="1"/>
  <c r="AU12" i="3" s="1"/>
  <c r="AU13" i="3" s="1"/>
  <c r="AU14" i="3" s="1"/>
  <c r="AU15" i="3" s="1"/>
  <c r="P12" i="2"/>
  <c r="Y37" i="6"/>
  <c r="AB37" i="6" s="1"/>
  <c r="AL11" i="6"/>
  <c r="AL12" i="6" s="1"/>
  <c r="AL13" i="6" s="1"/>
  <c r="AL14" i="6" s="1"/>
  <c r="AL15" i="6" s="1"/>
  <c r="AL16" i="6" s="1"/>
  <c r="AL17" i="6" s="1"/>
  <c r="AL18" i="6" s="1"/>
  <c r="AL19" i="6" s="1"/>
  <c r="AL20" i="6" s="1"/>
  <c r="AL21" i="6" s="1"/>
  <c r="AL22" i="6" s="1"/>
  <c r="AL23" i="6" s="1"/>
  <c r="AL24" i="6" s="1"/>
  <c r="AL25" i="6" s="1"/>
  <c r="AL26" i="6" s="1"/>
  <c r="AL27" i="6" s="1"/>
  <c r="AL28" i="6" s="1"/>
  <c r="AI37" i="6"/>
  <c r="AI38" i="6" s="1"/>
  <c r="V24" i="6"/>
  <c r="M24" i="6" s="1"/>
  <c r="V23" i="6"/>
  <c r="M23" i="6" s="1"/>
  <c r="V22" i="6"/>
  <c r="V20" i="6"/>
  <c r="M20" i="6" s="1"/>
  <c r="V26" i="6"/>
  <c r="M26" i="6" s="1"/>
  <c r="V21" i="6"/>
  <c r="M21" i="6" s="1"/>
  <c r="V12" i="6"/>
  <c r="M12" i="6" s="1"/>
  <c r="AI63" i="6"/>
  <c r="AI64" i="6" s="1"/>
  <c r="AH12" i="6"/>
  <c r="AH13" i="6" s="1"/>
  <c r="AH14" i="6" s="1"/>
  <c r="AH15" i="6" s="1"/>
  <c r="AH16" i="6" s="1"/>
  <c r="AH17" i="6" s="1"/>
  <c r="AH18" i="6" s="1"/>
  <c r="Y12" i="6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4" i="6" s="1"/>
  <c r="Y25" i="6" s="1"/>
  <c r="Y26" i="6" s="1"/>
  <c r="Y27" i="6" s="1"/>
  <c r="Y28" i="6" s="1"/>
  <c r="AG32" i="6"/>
  <c r="AB11" i="6"/>
  <c r="AA11" i="6"/>
  <c r="Y63" i="6"/>
  <c r="M11" i="3"/>
  <c r="AT25" i="3" s="1"/>
  <c r="BB25" i="3" s="1"/>
  <c r="J10" i="6"/>
  <c r="X19" i="6" s="1"/>
  <c r="V14" i="6"/>
  <c r="M14" i="6" s="1"/>
  <c r="V15" i="6"/>
  <c r="M15" i="6" s="1"/>
  <c r="V17" i="6"/>
  <c r="M17" i="6" s="1"/>
  <c r="V27" i="6"/>
  <c r="M27" i="6" s="1"/>
  <c r="AG33" i="6"/>
  <c r="U11" i="2"/>
  <c r="U12" i="2" s="1"/>
  <c r="K37" i="4"/>
  <c r="N37" i="4" s="1"/>
  <c r="AH23" i="4"/>
  <c r="AH15" i="4"/>
  <c r="U9" i="4"/>
  <c r="M20" i="4"/>
  <c r="AQ8" i="4"/>
  <c r="AQ9" i="4" s="1"/>
  <c r="AR2" i="2"/>
  <c r="AO11" i="2"/>
  <c r="AO12" i="2" s="1"/>
  <c r="AO13" i="2" s="1"/>
  <c r="AO14" i="2" s="1"/>
  <c r="AO15" i="2" s="1"/>
  <c r="AO16" i="2" s="1"/>
  <c r="AO17" i="2" s="1"/>
  <c r="AO18" i="2" s="1"/>
  <c r="AO19" i="2" s="1"/>
  <c r="AO20" i="2" s="1"/>
  <c r="AO21" i="2" s="1"/>
  <c r="AO22" i="2" s="1"/>
  <c r="AO23" i="2" s="1"/>
  <c r="AO24" i="2" s="1"/>
  <c r="AO25" i="2" s="1"/>
  <c r="AO26" i="2" s="1"/>
  <c r="AO27" i="2" s="1"/>
  <c r="AO28" i="2" s="1"/>
  <c r="AM11" i="2"/>
  <c r="AM12" i="2" s="1"/>
  <c r="AM13" i="2" s="1"/>
  <c r="AM14" i="2" s="1"/>
  <c r="AH32" i="2"/>
  <c r="M19" i="6" l="1"/>
  <c r="M28" i="6"/>
  <c r="M25" i="6"/>
  <c r="M22" i="6"/>
  <c r="M13" i="6"/>
  <c r="AR8" i="3"/>
  <c r="AA8" i="3"/>
  <c r="AD8" i="3" s="1"/>
  <c r="AH18" i="4"/>
  <c r="AK8" i="4"/>
  <c r="AF8" i="4"/>
  <c r="X11" i="2"/>
  <c r="AP11" i="2" s="1"/>
  <c r="X12" i="2"/>
  <c r="AT12" i="2" s="1"/>
  <c r="U8" i="3"/>
  <c r="AH12" i="4"/>
  <c r="AG23" i="4"/>
  <c r="BC8" i="3"/>
  <c r="AF25" i="3"/>
  <c r="AF21" i="3"/>
  <c r="AF17" i="3"/>
  <c r="AF13" i="3"/>
  <c r="AF9" i="3"/>
  <c r="AH9" i="3" s="1"/>
  <c r="AF24" i="3"/>
  <c r="AF20" i="3"/>
  <c r="AF16" i="3"/>
  <c r="AF12" i="3"/>
  <c r="AF8" i="3"/>
  <c r="AH8" i="3" s="1"/>
  <c r="AF22" i="3"/>
  <c r="AF18" i="3"/>
  <c r="AF14" i="3"/>
  <c r="AF10" i="3"/>
  <c r="AG10" i="3"/>
  <c r="AF23" i="3"/>
  <c r="AF19" i="3"/>
  <c r="AF15" i="3"/>
  <c r="AF11" i="3"/>
  <c r="BC12" i="3"/>
  <c r="BC9" i="3"/>
  <c r="BC13" i="3"/>
  <c r="BC11" i="3"/>
  <c r="BC10" i="3"/>
  <c r="BC14" i="3"/>
  <c r="R8" i="3"/>
  <c r="T8" i="3" s="1"/>
  <c r="AB8" i="3"/>
  <c r="AB9" i="3" s="1"/>
  <c r="U9" i="3"/>
  <c r="S10" i="3"/>
  <c r="R9" i="3"/>
  <c r="T9" i="3" s="1"/>
  <c r="AT11" i="3"/>
  <c r="BB11" i="3" s="1"/>
  <c r="AT19" i="3"/>
  <c r="BB19" i="3" s="1"/>
  <c r="AT9" i="3"/>
  <c r="AV9" i="3" s="1"/>
  <c r="AT20" i="3"/>
  <c r="BB20" i="3" s="1"/>
  <c r="AT8" i="3"/>
  <c r="BB8" i="3" s="1"/>
  <c r="AT15" i="3"/>
  <c r="BB15" i="3" s="1"/>
  <c r="AT23" i="3"/>
  <c r="BB23" i="3" s="1"/>
  <c r="AT13" i="3"/>
  <c r="BB13" i="3" s="1"/>
  <c r="BD13" i="3" s="1"/>
  <c r="AT16" i="3"/>
  <c r="BB16" i="3" s="1"/>
  <c r="AT24" i="3"/>
  <c r="BB24" i="3" s="1"/>
  <c r="AT18" i="3"/>
  <c r="BB18" i="3" s="1"/>
  <c r="AT22" i="3"/>
  <c r="BB22" i="3" s="1"/>
  <c r="AT10" i="3"/>
  <c r="AV10" i="3" s="1"/>
  <c r="AT12" i="3"/>
  <c r="AV12" i="3" s="1"/>
  <c r="AT14" i="3"/>
  <c r="BB14" i="3" s="1"/>
  <c r="AT17" i="3"/>
  <c r="BB17" i="3" s="1"/>
  <c r="AT21" i="3"/>
  <c r="BB21" i="3" s="1"/>
  <c r="AU16" i="3"/>
  <c r="BC15" i="3"/>
  <c r="AH14" i="4"/>
  <c r="K38" i="4"/>
  <c r="Y38" i="6"/>
  <c r="AM11" i="6"/>
  <c r="T11" i="2"/>
  <c r="X26" i="6"/>
  <c r="X25" i="6"/>
  <c r="X17" i="6"/>
  <c r="X18" i="6"/>
  <c r="X24" i="6"/>
  <c r="X16" i="6"/>
  <c r="X23" i="6"/>
  <c r="X15" i="6"/>
  <c r="X22" i="6"/>
  <c r="X14" i="6"/>
  <c r="X11" i="6"/>
  <c r="Z11" i="6" s="1"/>
  <c r="AC11" i="6" s="1"/>
  <c r="AF11" i="6" s="1"/>
  <c r="X21" i="6"/>
  <c r="X13" i="6"/>
  <c r="X28" i="6"/>
  <c r="X20" i="6"/>
  <c r="X12" i="6"/>
  <c r="X27" i="6"/>
  <c r="X37" i="6"/>
  <c r="AJ37" i="6"/>
  <c r="AB63" i="6"/>
  <c r="AJ63" i="6" s="1"/>
  <c r="AI11" i="6"/>
  <c r="AE11" i="6"/>
  <c r="AG59" i="6"/>
  <c r="AI65" i="6"/>
  <c r="AI39" i="6"/>
  <c r="AE63" i="6"/>
  <c r="AA63" i="6"/>
  <c r="Y64" i="6"/>
  <c r="AE37" i="6"/>
  <c r="AA37" i="6"/>
  <c r="AG19" i="4"/>
  <c r="AH20" i="4"/>
  <c r="AG8" i="4"/>
  <c r="AH22" i="4"/>
  <c r="AK15" i="4"/>
  <c r="AH16" i="4"/>
  <c r="AK10" i="4"/>
  <c r="AK12" i="4"/>
  <c r="AK11" i="4"/>
  <c r="AH24" i="4"/>
  <c r="AY9" i="4"/>
  <c r="AQ10" i="4"/>
  <c r="U10" i="4"/>
  <c r="AY8" i="4"/>
  <c r="AG9" i="4"/>
  <c r="AK9" i="4"/>
  <c r="AH9" i="4"/>
  <c r="AH25" i="4"/>
  <c r="AG25" i="4"/>
  <c r="AH21" i="4"/>
  <c r="AG21" i="4"/>
  <c r="AN8" i="4"/>
  <c r="AK13" i="4"/>
  <c r="AK14" i="4"/>
  <c r="AH17" i="4"/>
  <c r="AG17" i="4"/>
  <c r="AG11" i="4"/>
  <c r="AG13" i="4"/>
  <c r="AG15" i="4"/>
  <c r="AG10" i="4"/>
  <c r="AH11" i="4"/>
  <c r="AH13" i="4"/>
  <c r="AV11" i="2"/>
  <c r="AN11" i="6" l="1"/>
  <c r="AJ11" i="6"/>
  <c r="AG11" i="3"/>
  <c r="AH11" i="3" s="1"/>
  <c r="BD8" i="3"/>
  <c r="AP12" i="2"/>
  <c r="AT11" i="2"/>
  <c r="AV15" i="3"/>
  <c r="AW15" i="3" s="1"/>
  <c r="BB12" i="3"/>
  <c r="BD12" i="3" s="1"/>
  <c r="BB10" i="3"/>
  <c r="BD10" i="3" s="1"/>
  <c r="BB9" i="3"/>
  <c r="BD9" i="3" s="1"/>
  <c r="AI10" i="3"/>
  <c r="AV8" i="3"/>
  <c r="AW8" i="3" s="1"/>
  <c r="BD14" i="3"/>
  <c r="AH10" i="3"/>
  <c r="AV11" i="3"/>
  <c r="AW11" i="3" s="1"/>
  <c r="BD15" i="3"/>
  <c r="BD11" i="3"/>
  <c r="R10" i="3"/>
  <c r="T10" i="3" s="1"/>
  <c r="U10" i="3"/>
  <c r="AB10" i="3"/>
  <c r="S11" i="3"/>
  <c r="AV13" i="3"/>
  <c r="AW13" i="3" s="1"/>
  <c r="AV14" i="3"/>
  <c r="AW14" i="3" s="1"/>
  <c r="AU17" i="3"/>
  <c r="BC16" i="3"/>
  <c r="BD16" i="3" s="1"/>
  <c r="AW10" i="3"/>
  <c r="AY10" i="3"/>
  <c r="AX10" i="3"/>
  <c r="AW9" i="3"/>
  <c r="AY9" i="3"/>
  <c r="AX9" i="3"/>
  <c r="AW12" i="3"/>
  <c r="AY12" i="3"/>
  <c r="AX12" i="3"/>
  <c r="AV16" i="3"/>
  <c r="K39" i="4"/>
  <c r="N38" i="4"/>
  <c r="AA38" i="6"/>
  <c r="AB64" i="6"/>
  <c r="AJ64" i="6" s="1"/>
  <c r="Y39" i="6"/>
  <c r="AB38" i="6"/>
  <c r="AJ38" i="6" s="1"/>
  <c r="AB12" i="6"/>
  <c r="AA12" i="6"/>
  <c r="Z12" i="6"/>
  <c r="AC12" i="6" s="1"/>
  <c r="AD11" i="6"/>
  <c r="AE12" i="6" s="1"/>
  <c r="AI66" i="6"/>
  <c r="AI40" i="6"/>
  <c r="AA64" i="6"/>
  <c r="Y65" i="6"/>
  <c r="AG6" i="4"/>
  <c r="AH6" i="4"/>
  <c r="U11" i="4"/>
  <c r="AQ11" i="4"/>
  <c r="AY10" i="4"/>
  <c r="AU11" i="2"/>
  <c r="BE11" i="2"/>
  <c r="AY12" i="2"/>
  <c r="BH12" i="2" s="1"/>
  <c r="AY13" i="2"/>
  <c r="BH13" i="2" s="1"/>
  <c r="AY14" i="2"/>
  <c r="AY15" i="2"/>
  <c r="AY16" i="2"/>
  <c r="BH16" i="2" s="1"/>
  <c r="AY17" i="2"/>
  <c r="BH17" i="2" s="1"/>
  <c r="AY18" i="2"/>
  <c r="AY19" i="2"/>
  <c r="AY20" i="2"/>
  <c r="BH20" i="2" s="1"/>
  <c r="AY21" i="2"/>
  <c r="AY22" i="2"/>
  <c r="AY23" i="2"/>
  <c r="AY24" i="2"/>
  <c r="BH24" i="2" s="1"/>
  <c r="AY25" i="2"/>
  <c r="AY26" i="2"/>
  <c r="AY27" i="2"/>
  <c r="AY28" i="2"/>
  <c r="BH28" i="2" s="1"/>
  <c r="AY11" i="2"/>
  <c r="BA11" i="2" s="1"/>
  <c r="BB11" i="2" s="1"/>
  <c r="BE28" i="2"/>
  <c r="BE27" i="2"/>
  <c r="BE26" i="2"/>
  <c r="BE25" i="2"/>
  <c r="BE24" i="2"/>
  <c r="BE23" i="2"/>
  <c r="BE22" i="2"/>
  <c r="BE21" i="2"/>
  <c r="BE20" i="2"/>
  <c r="BE19" i="2"/>
  <c r="BE18" i="2"/>
  <c r="BE17" i="2"/>
  <c r="BE16" i="2"/>
  <c r="BE15" i="2"/>
  <c r="BE14" i="2"/>
  <c r="BE13" i="2"/>
  <c r="BE12" i="2"/>
  <c r="AZ12" i="2"/>
  <c r="BI12" i="2" s="1"/>
  <c r="BI11" i="2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AP29" i="1"/>
  <c r="AM29" i="1"/>
  <c r="L29" i="1"/>
  <c r="F29" i="1"/>
  <c r="AP28" i="1"/>
  <c r="AM28" i="1"/>
  <c r="L28" i="1"/>
  <c r="F28" i="1"/>
  <c r="AP27" i="1"/>
  <c r="AM27" i="1"/>
  <c r="L27" i="1"/>
  <c r="F27" i="1"/>
  <c r="AP26" i="1"/>
  <c r="AM26" i="1"/>
  <c r="L26" i="1"/>
  <c r="F26" i="1"/>
  <c r="AP25" i="1"/>
  <c r="AM25" i="1"/>
  <c r="L25" i="1"/>
  <c r="AP24" i="1"/>
  <c r="AM24" i="1"/>
  <c r="L24" i="1"/>
  <c r="AP23" i="1"/>
  <c r="AM23" i="1"/>
  <c r="L23" i="1"/>
  <c r="AP22" i="1"/>
  <c r="AM22" i="1"/>
  <c r="L22" i="1"/>
  <c r="AP21" i="1"/>
  <c r="AM21" i="1"/>
  <c r="L21" i="1"/>
  <c r="AP20" i="1"/>
  <c r="AM20" i="1"/>
  <c r="L20" i="1"/>
  <c r="AP19" i="1"/>
  <c r="AM19" i="1"/>
  <c r="L19" i="1"/>
  <c r="AP18" i="1"/>
  <c r="AM18" i="1"/>
  <c r="L18" i="1"/>
  <c r="AP17" i="1"/>
  <c r="AM17" i="1"/>
  <c r="L17" i="1"/>
  <c r="AP16" i="1"/>
  <c r="AM16" i="1"/>
  <c r="AH16" i="1"/>
  <c r="L16" i="1"/>
  <c r="AP15" i="1"/>
  <c r="AM15" i="1"/>
  <c r="AH15" i="1"/>
  <c r="L15" i="1"/>
  <c r="AP14" i="1"/>
  <c r="AM14" i="1"/>
  <c r="AH14" i="1"/>
  <c r="L14" i="1"/>
  <c r="AP13" i="1"/>
  <c r="AM13" i="1"/>
  <c r="AH13" i="1"/>
  <c r="T13" i="1"/>
  <c r="T14" i="1" s="1"/>
  <c r="L13" i="1"/>
  <c r="AP12" i="1"/>
  <c r="AM12" i="1"/>
  <c r="AH12" i="1"/>
  <c r="W12" i="1"/>
  <c r="V12" i="1"/>
  <c r="U12" i="1"/>
  <c r="S12" i="1"/>
  <c r="S13" i="1" s="1"/>
  <c r="AF13" i="1" s="1"/>
  <c r="L12" i="1"/>
  <c r="I12" i="1"/>
  <c r="AI11" i="3" l="1"/>
  <c r="AN11" i="2"/>
  <c r="AG12" i="3"/>
  <c r="AY15" i="3"/>
  <c r="AX15" i="3"/>
  <c r="AX8" i="3"/>
  <c r="AY8" i="3"/>
  <c r="AX13" i="3"/>
  <c r="AX14" i="3"/>
  <c r="AX11" i="3"/>
  <c r="AY14" i="3"/>
  <c r="AY11" i="3"/>
  <c r="AY13" i="3"/>
  <c r="R11" i="3"/>
  <c r="T11" i="3" s="1"/>
  <c r="S12" i="3"/>
  <c r="AB11" i="3"/>
  <c r="U11" i="3"/>
  <c r="BG12" i="3"/>
  <c r="BG10" i="3"/>
  <c r="X10" i="3" s="1"/>
  <c r="BE12" i="3"/>
  <c r="AZ12" i="3"/>
  <c r="BF9" i="3"/>
  <c r="W9" i="3" s="1"/>
  <c r="AW16" i="3"/>
  <c r="AY16" i="3"/>
  <c r="AX16" i="3"/>
  <c r="BF12" i="3"/>
  <c r="BG9" i="3"/>
  <c r="X9" i="3" s="1"/>
  <c r="BF10" i="3"/>
  <c r="W10" i="3" s="1"/>
  <c r="BE9" i="3"/>
  <c r="V9" i="3" s="1"/>
  <c r="AZ9" i="3"/>
  <c r="BE10" i="3"/>
  <c r="V10" i="3" s="1"/>
  <c r="AZ10" i="3"/>
  <c r="AU18" i="3"/>
  <c r="BC17" i="3"/>
  <c r="BD17" i="3" s="1"/>
  <c r="AV17" i="3"/>
  <c r="AM10" i="1"/>
  <c r="V13" i="1"/>
  <c r="K40" i="4"/>
  <c r="N39" i="4"/>
  <c r="AI12" i="6"/>
  <c r="AJ12" i="6" s="1"/>
  <c r="AM12" i="6"/>
  <c r="AN12" i="6" s="1"/>
  <c r="AA39" i="6"/>
  <c r="AF12" i="6"/>
  <c r="Y40" i="6"/>
  <c r="AB39" i="6"/>
  <c r="AJ39" i="6" s="1"/>
  <c r="AB65" i="6"/>
  <c r="AJ65" i="6" s="1"/>
  <c r="AD12" i="6"/>
  <c r="AE13" i="6" s="1"/>
  <c r="Z13" i="6"/>
  <c r="AB13" i="6"/>
  <c r="AA13" i="6"/>
  <c r="AI67" i="6"/>
  <c r="AI41" i="6"/>
  <c r="AA65" i="6"/>
  <c r="Y66" i="6"/>
  <c r="AQ12" i="4"/>
  <c r="AY11" i="4"/>
  <c r="U12" i="4"/>
  <c r="K12" i="1"/>
  <c r="M12" i="1" s="1"/>
  <c r="N12" i="1" s="1"/>
  <c r="O13" i="1" s="1"/>
  <c r="I13" i="1"/>
  <c r="I14" i="1" s="1"/>
  <c r="I15" i="1" s="1"/>
  <c r="I16" i="1" s="1"/>
  <c r="I17" i="1" s="1"/>
  <c r="I18" i="1" s="1"/>
  <c r="K18" i="1" s="1"/>
  <c r="M18" i="1" s="1"/>
  <c r="N18" i="1" s="1"/>
  <c r="X12" i="1"/>
  <c r="AI12" i="1"/>
  <c r="AJ12" i="1" s="1"/>
  <c r="T15" i="1"/>
  <c r="U14" i="1"/>
  <c r="S14" i="1"/>
  <c r="S15" i="1" s="1"/>
  <c r="S16" i="1" s="1"/>
  <c r="AV12" i="2"/>
  <c r="U13" i="2"/>
  <c r="AS13" i="2"/>
  <c r="BD11" i="2"/>
  <c r="BC11" i="2"/>
  <c r="AZ13" i="2"/>
  <c r="AZ14" i="2" s="1"/>
  <c r="AZ15" i="2" s="1"/>
  <c r="BA15" i="2" s="1"/>
  <c r="BA12" i="2"/>
  <c r="BD12" i="2" s="1"/>
  <c r="BJ11" i="2"/>
  <c r="BH21" i="2"/>
  <c r="BH25" i="2"/>
  <c r="BH14" i="2"/>
  <c r="BH18" i="2"/>
  <c r="BH22" i="2"/>
  <c r="BH26" i="2"/>
  <c r="BH11" i="2"/>
  <c r="BH15" i="2"/>
  <c r="BH19" i="2"/>
  <c r="BH23" i="2"/>
  <c r="BH27" i="2"/>
  <c r="Q12" i="1"/>
  <c r="AF12" i="1"/>
  <c r="AP10" i="1"/>
  <c r="V14" i="1"/>
  <c r="U13" i="1"/>
  <c r="W11" i="2"/>
  <c r="V11" i="2"/>
  <c r="AE11" i="2"/>
  <c r="AL9" i="3" l="1"/>
  <c r="AQ11" i="2"/>
  <c r="AK9" i="3"/>
  <c r="AK10" i="3"/>
  <c r="AZ15" i="3"/>
  <c r="AG13" i="3"/>
  <c r="AI12" i="3"/>
  <c r="AH12" i="3"/>
  <c r="AJ12" i="3" s="1"/>
  <c r="AL10" i="3"/>
  <c r="Y10" i="3"/>
  <c r="Z10" i="3" s="1"/>
  <c r="Y9" i="3"/>
  <c r="Z9" i="3" s="1"/>
  <c r="BG15" i="3"/>
  <c r="BF15" i="3"/>
  <c r="AZ8" i="3"/>
  <c r="BE15" i="3"/>
  <c r="I19" i="1"/>
  <c r="I20" i="1" s="1"/>
  <c r="BE14" i="3"/>
  <c r="BE8" i="3"/>
  <c r="BF8" i="3"/>
  <c r="BF13" i="3"/>
  <c r="BE11" i="3"/>
  <c r="AJ11" i="3" s="1"/>
  <c r="BG8" i="3"/>
  <c r="AL8" i="3" s="1"/>
  <c r="X13" i="2"/>
  <c r="AP13" i="2" s="1"/>
  <c r="BG14" i="3"/>
  <c r="BF14" i="3"/>
  <c r="AZ14" i="3"/>
  <c r="BG11" i="3"/>
  <c r="BF11" i="3"/>
  <c r="AZ11" i="3"/>
  <c r="AJ10" i="3"/>
  <c r="AJ9" i="3"/>
  <c r="BG13" i="3"/>
  <c r="AZ13" i="3"/>
  <c r="BE13" i="3"/>
  <c r="BH10" i="3"/>
  <c r="BI10" i="3" s="1"/>
  <c r="BJ10" i="3" s="1"/>
  <c r="R12" i="3"/>
  <c r="T12" i="3" s="1"/>
  <c r="V12" i="3" s="1"/>
  <c r="AB12" i="3"/>
  <c r="S13" i="3"/>
  <c r="U12" i="3"/>
  <c r="BG16" i="3"/>
  <c r="BH12" i="3"/>
  <c r="BI12" i="3" s="1"/>
  <c r="BJ12" i="3" s="1"/>
  <c r="AW17" i="3"/>
  <c r="AY17" i="3"/>
  <c r="AX17" i="3"/>
  <c r="BF16" i="3"/>
  <c r="AU19" i="3"/>
  <c r="BC18" i="3"/>
  <c r="BD18" i="3" s="1"/>
  <c r="AV18" i="3"/>
  <c r="BE16" i="3"/>
  <c r="AZ16" i="3"/>
  <c r="BH9" i="3"/>
  <c r="BI9" i="3" s="1"/>
  <c r="BJ9" i="3" s="1"/>
  <c r="K41" i="4"/>
  <c r="N40" i="4"/>
  <c r="K17" i="1"/>
  <c r="M17" i="1" s="1"/>
  <c r="N17" i="1" s="1"/>
  <c r="AA40" i="6"/>
  <c r="AI13" i="6"/>
  <c r="AJ13" i="6" s="1"/>
  <c r="AM13" i="6"/>
  <c r="AN13" i="6" s="1"/>
  <c r="AC13" i="6"/>
  <c r="AB66" i="6"/>
  <c r="AJ66" i="6" s="1"/>
  <c r="Y41" i="6"/>
  <c r="AB40" i="6"/>
  <c r="AJ40" i="6" s="1"/>
  <c r="AB14" i="6"/>
  <c r="AA14" i="6"/>
  <c r="Z14" i="6"/>
  <c r="AI68" i="6"/>
  <c r="AI42" i="6"/>
  <c r="AA66" i="6"/>
  <c r="Y67" i="6"/>
  <c r="AR11" i="2"/>
  <c r="AQ13" i="4"/>
  <c r="AY12" i="4"/>
  <c r="U13" i="4"/>
  <c r="K15" i="1"/>
  <c r="M15" i="1" s="1"/>
  <c r="N15" i="1" s="1"/>
  <c r="K13" i="1"/>
  <c r="M13" i="1" s="1"/>
  <c r="N13" i="1" s="1"/>
  <c r="O14" i="1" s="1"/>
  <c r="AF15" i="1"/>
  <c r="K16" i="1"/>
  <c r="M16" i="1" s="1"/>
  <c r="N16" i="1" s="1"/>
  <c r="K14" i="1"/>
  <c r="M14" i="1" s="1"/>
  <c r="N14" i="1" s="1"/>
  <c r="AF14" i="1"/>
  <c r="T16" i="1"/>
  <c r="V15" i="1"/>
  <c r="U15" i="1"/>
  <c r="AV13" i="2"/>
  <c r="AS14" i="2"/>
  <c r="BK11" i="2"/>
  <c r="BI13" i="2"/>
  <c r="BM11" i="2"/>
  <c r="BA14" i="2"/>
  <c r="BD14" i="2" s="1"/>
  <c r="BB12" i="2"/>
  <c r="BI14" i="2"/>
  <c r="BC12" i="2"/>
  <c r="BF11" i="2"/>
  <c r="BJ12" i="2"/>
  <c r="BA13" i="2"/>
  <c r="BB13" i="2" s="1"/>
  <c r="BL11" i="2"/>
  <c r="BB15" i="2"/>
  <c r="BJ15" i="2"/>
  <c r="BC15" i="2"/>
  <c r="BD15" i="2"/>
  <c r="BN11" i="2"/>
  <c r="AZ16" i="2"/>
  <c r="BI15" i="2"/>
  <c r="W13" i="1"/>
  <c r="AI13" i="1" s="1"/>
  <c r="AJ13" i="1" s="1"/>
  <c r="S17" i="1"/>
  <c r="S18" i="1" s="1"/>
  <c r="S19" i="1" s="1"/>
  <c r="AF16" i="1"/>
  <c r="T12" i="2"/>
  <c r="V12" i="2" s="1"/>
  <c r="W12" i="2"/>
  <c r="AM9" i="3" l="1"/>
  <c r="AN9" i="3" s="1"/>
  <c r="W11" i="3"/>
  <c r="AK11" i="3"/>
  <c r="AL12" i="3"/>
  <c r="AK12" i="3"/>
  <c r="K19" i="1"/>
  <c r="M19" i="1" s="1"/>
  <c r="N19" i="1" s="1"/>
  <c r="X11" i="3"/>
  <c r="AL11" i="3"/>
  <c r="AM11" i="3" s="1"/>
  <c r="AN11" i="3" s="1"/>
  <c r="W8" i="3"/>
  <c r="AK8" i="3"/>
  <c r="AG14" i="3"/>
  <c r="AH13" i="3"/>
  <c r="AI13" i="3"/>
  <c r="AM10" i="3"/>
  <c r="AN10" i="3" s="1"/>
  <c r="BH15" i="3"/>
  <c r="BI15" i="3" s="1"/>
  <c r="BJ15" i="3" s="1"/>
  <c r="BH14" i="3"/>
  <c r="BI14" i="3" s="1"/>
  <c r="BJ14" i="3" s="1"/>
  <c r="X12" i="3"/>
  <c r="W12" i="3"/>
  <c r="Q13" i="1"/>
  <c r="AJ8" i="3"/>
  <c r="V8" i="3"/>
  <c r="AC8" i="3" s="1"/>
  <c r="BH8" i="3"/>
  <c r="BI8" i="3" s="1"/>
  <c r="BJ8" i="3" s="1"/>
  <c r="V11" i="3"/>
  <c r="BH11" i="3"/>
  <c r="BI11" i="3" s="1"/>
  <c r="BJ11" i="3" s="1"/>
  <c r="AT13" i="2"/>
  <c r="BH13" i="3"/>
  <c r="BI13" i="3" s="1"/>
  <c r="BJ13" i="3" s="1"/>
  <c r="R13" i="3"/>
  <c r="T13" i="3" s="1"/>
  <c r="V13" i="3" s="1"/>
  <c r="S14" i="3"/>
  <c r="AB13" i="3"/>
  <c r="U13" i="3"/>
  <c r="BH16" i="3"/>
  <c r="BI16" i="3" s="1"/>
  <c r="BJ16" i="3" s="1"/>
  <c r="BF17" i="3"/>
  <c r="BG17" i="3"/>
  <c r="AW18" i="3"/>
  <c r="AY18" i="3"/>
  <c r="AX18" i="3"/>
  <c r="BC19" i="3"/>
  <c r="BD19" i="3" s="1"/>
  <c r="AU20" i="3"/>
  <c r="AV19" i="3"/>
  <c r="BE17" i="3"/>
  <c r="AZ17" i="3"/>
  <c r="K42" i="4"/>
  <c r="N41" i="4"/>
  <c r="AI14" i="6"/>
  <c r="AM14" i="6"/>
  <c r="AD13" i="6"/>
  <c r="AE14" i="6" s="1"/>
  <c r="AF13" i="6"/>
  <c r="AC14" i="6"/>
  <c r="Y42" i="6"/>
  <c r="AB41" i="6"/>
  <c r="AJ41" i="6" s="1"/>
  <c r="AA41" i="6"/>
  <c r="AB67" i="6"/>
  <c r="AJ67" i="6" s="1"/>
  <c r="AB15" i="6"/>
  <c r="AA15" i="6"/>
  <c r="Z15" i="6"/>
  <c r="AC15" i="6" s="1"/>
  <c r="AI69" i="6"/>
  <c r="AI43" i="6"/>
  <c r="AA67" i="6"/>
  <c r="Y68" i="6"/>
  <c r="U14" i="4"/>
  <c r="AQ14" i="4"/>
  <c r="AY13" i="4"/>
  <c r="T17" i="1"/>
  <c r="U16" i="1"/>
  <c r="V16" i="1"/>
  <c r="AV14" i="2"/>
  <c r="AS15" i="2"/>
  <c r="BJ14" i="2"/>
  <c r="BF12" i="2"/>
  <c r="BB14" i="2"/>
  <c r="BC14" i="2"/>
  <c r="BC13" i="2"/>
  <c r="BD13" i="2"/>
  <c r="BL12" i="2"/>
  <c r="BJ13" i="2"/>
  <c r="BN12" i="2"/>
  <c r="BK12" i="2"/>
  <c r="BM12" i="2"/>
  <c r="T13" i="2"/>
  <c r="V13" i="2" s="1"/>
  <c r="BM15" i="2"/>
  <c r="BL15" i="2"/>
  <c r="BK15" i="2"/>
  <c r="BF15" i="2"/>
  <c r="BN15" i="2"/>
  <c r="BI16" i="2"/>
  <c r="BA16" i="2"/>
  <c r="AZ17" i="2"/>
  <c r="BO11" i="2"/>
  <c r="BP11" i="2" s="1"/>
  <c r="BQ11" i="2" s="1"/>
  <c r="K20" i="1"/>
  <c r="M20" i="1" s="1"/>
  <c r="N20" i="1" s="1"/>
  <c r="I21" i="1"/>
  <c r="W14" i="1"/>
  <c r="O15" i="1"/>
  <c r="Q14" i="1"/>
  <c r="X13" i="1"/>
  <c r="U14" i="2"/>
  <c r="W13" i="2"/>
  <c r="AM12" i="3" l="1"/>
  <c r="AN12" i="3" s="1"/>
  <c r="Y11" i="3"/>
  <c r="Z11" i="3" s="1"/>
  <c r="AK13" i="3"/>
  <c r="AL13" i="3"/>
  <c r="AJ13" i="3"/>
  <c r="AM8" i="3"/>
  <c r="AN8" i="3" s="1"/>
  <c r="AO9" i="3" s="1"/>
  <c r="AQ8" i="3"/>
  <c r="AG15" i="3"/>
  <c r="AI14" i="3"/>
  <c r="AH14" i="3"/>
  <c r="Y12" i="3"/>
  <c r="Z12" i="3" s="1"/>
  <c r="X13" i="3"/>
  <c r="W13" i="3"/>
  <c r="X14" i="2"/>
  <c r="R14" i="3"/>
  <c r="T14" i="3" s="1"/>
  <c r="V14" i="3" s="1"/>
  <c r="S15" i="3"/>
  <c r="AB14" i="3"/>
  <c r="U14" i="3"/>
  <c r="AJ14" i="6"/>
  <c r="BH17" i="3"/>
  <c r="BI17" i="3" s="1"/>
  <c r="BJ17" i="3" s="1"/>
  <c r="BF18" i="3"/>
  <c r="BG18" i="3"/>
  <c r="BE18" i="3"/>
  <c r="AZ18" i="3"/>
  <c r="AW19" i="3"/>
  <c r="AY19" i="3"/>
  <c r="AX19" i="3"/>
  <c r="BC20" i="3"/>
  <c r="BD20" i="3" s="1"/>
  <c r="AU21" i="3"/>
  <c r="AV20" i="3"/>
  <c r="K43" i="4"/>
  <c r="N42" i="4"/>
  <c r="AI15" i="6"/>
  <c r="AM15" i="6"/>
  <c r="AN14" i="6"/>
  <c r="AA42" i="6"/>
  <c r="AD14" i="6"/>
  <c r="AE15" i="6" s="1"/>
  <c r="AF14" i="6"/>
  <c r="AB68" i="6"/>
  <c r="AJ68" i="6" s="1"/>
  <c r="Y43" i="6"/>
  <c r="AB42" i="6"/>
  <c r="AJ42" i="6" s="1"/>
  <c r="AD15" i="6"/>
  <c r="Z16" i="6"/>
  <c r="AA16" i="6"/>
  <c r="AB16" i="6"/>
  <c r="AM16" i="6" s="1"/>
  <c r="AI70" i="6"/>
  <c r="AI44" i="6"/>
  <c r="AA68" i="6"/>
  <c r="Y69" i="6"/>
  <c r="AQ15" i="4"/>
  <c r="AY14" i="4"/>
  <c r="U15" i="4"/>
  <c r="T18" i="1"/>
  <c r="V17" i="1"/>
  <c r="U17" i="1"/>
  <c r="BK14" i="2"/>
  <c r="AV15" i="2"/>
  <c r="BL14" i="2"/>
  <c r="AS16" i="2"/>
  <c r="BN14" i="2"/>
  <c r="BM13" i="2"/>
  <c r="AA11" i="2" s="1"/>
  <c r="AJ11" i="2" s="1"/>
  <c r="BM14" i="2"/>
  <c r="BL13" i="2"/>
  <c r="Z12" i="2" s="1"/>
  <c r="BN13" i="2"/>
  <c r="AB11" i="2" s="1"/>
  <c r="AL11" i="2" s="1"/>
  <c r="BF13" i="2"/>
  <c r="BF14" i="2"/>
  <c r="BK13" i="2"/>
  <c r="BO12" i="2"/>
  <c r="BP12" i="2" s="1"/>
  <c r="BQ12" i="2" s="1"/>
  <c r="T14" i="2"/>
  <c r="V14" i="2" s="1"/>
  <c r="BO15" i="2"/>
  <c r="BP15" i="2" s="1"/>
  <c r="BQ15" i="2" s="1"/>
  <c r="AZ18" i="2"/>
  <c r="BI17" i="2"/>
  <c r="BA17" i="2"/>
  <c r="BJ16" i="2"/>
  <c r="BD16" i="2"/>
  <c r="BC16" i="2"/>
  <c r="BB16" i="2"/>
  <c r="I22" i="1"/>
  <c r="K21" i="1"/>
  <c r="M21" i="1" s="1"/>
  <c r="N21" i="1" s="1"/>
  <c r="AI14" i="1"/>
  <c r="AJ14" i="1" s="1"/>
  <c r="X14" i="1"/>
  <c r="W15" i="1"/>
  <c r="Q15" i="1"/>
  <c r="O16" i="1"/>
  <c r="W14" i="2"/>
  <c r="U15" i="2"/>
  <c r="AM13" i="3" l="1"/>
  <c r="AN13" i="3" s="1"/>
  <c r="Y13" i="2"/>
  <c r="Z11" i="2"/>
  <c r="AH11" i="2" s="1"/>
  <c r="Y11" i="2"/>
  <c r="AB13" i="2"/>
  <c r="Z13" i="2"/>
  <c r="AB12" i="2"/>
  <c r="AA13" i="2"/>
  <c r="Y12" i="2"/>
  <c r="AA12" i="2"/>
  <c r="AG16" i="3"/>
  <c r="AI15" i="3"/>
  <c r="AH15" i="3"/>
  <c r="AK14" i="3"/>
  <c r="AL14" i="3"/>
  <c r="AJ14" i="3"/>
  <c r="AR9" i="3"/>
  <c r="AQ9" i="3"/>
  <c r="Y13" i="3"/>
  <c r="Z13" i="3" s="1"/>
  <c r="AO10" i="3"/>
  <c r="X14" i="3"/>
  <c r="W14" i="3"/>
  <c r="AP14" i="2"/>
  <c r="AT14" i="2"/>
  <c r="X15" i="2"/>
  <c r="R15" i="3"/>
  <c r="T15" i="3" s="1"/>
  <c r="X15" i="3" s="1"/>
  <c r="S16" i="3"/>
  <c r="AB15" i="3"/>
  <c r="U15" i="3"/>
  <c r="BH18" i="3"/>
  <c r="BI18" i="3" s="1"/>
  <c r="BJ18" i="3" s="1"/>
  <c r="BE19" i="3"/>
  <c r="AZ19" i="3"/>
  <c r="BF19" i="3"/>
  <c r="BC21" i="3"/>
  <c r="BD21" i="3" s="1"/>
  <c r="AU22" i="3"/>
  <c r="AV21" i="3"/>
  <c r="AW20" i="3"/>
  <c r="AX20" i="3"/>
  <c r="AY20" i="3"/>
  <c r="BG19" i="3"/>
  <c r="K44" i="4"/>
  <c r="N43" i="4"/>
  <c r="AN15" i="6"/>
  <c r="AJ15" i="6"/>
  <c r="AE16" i="6"/>
  <c r="AN16" i="6" s="1"/>
  <c r="AF15" i="6"/>
  <c r="AC16" i="6"/>
  <c r="Y44" i="6"/>
  <c r="AB43" i="6"/>
  <c r="AJ43" i="6" s="1"/>
  <c r="AA43" i="6"/>
  <c r="AB69" i="6"/>
  <c r="AJ69" i="6" s="1"/>
  <c r="AI16" i="6"/>
  <c r="AB17" i="6"/>
  <c r="AA17" i="6"/>
  <c r="Z17" i="6"/>
  <c r="AC17" i="6" s="1"/>
  <c r="AA69" i="6"/>
  <c r="Y70" i="6"/>
  <c r="AQ16" i="4"/>
  <c r="AY15" i="4"/>
  <c r="U16" i="4"/>
  <c r="V18" i="1"/>
  <c r="T19" i="1"/>
  <c r="U18" i="1"/>
  <c r="BO14" i="2"/>
  <c r="BP14" i="2" s="1"/>
  <c r="BQ14" i="2" s="1"/>
  <c r="AV16" i="2"/>
  <c r="AS17" i="2"/>
  <c r="BO13" i="2"/>
  <c r="BP13" i="2" s="1"/>
  <c r="BQ13" i="2" s="1"/>
  <c r="U16" i="2"/>
  <c r="BM16" i="2"/>
  <c r="AA14" i="2" s="1"/>
  <c r="BF16" i="2"/>
  <c r="BK16" i="2"/>
  <c r="Y14" i="2" s="1"/>
  <c r="BN16" i="2"/>
  <c r="AB14" i="2" s="1"/>
  <c r="BL16" i="2"/>
  <c r="Z14" i="2" s="1"/>
  <c r="BD17" i="2"/>
  <c r="BC17" i="2"/>
  <c r="BB17" i="2"/>
  <c r="BJ17" i="2"/>
  <c r="AZ19" i="2"/>
  <c r="BI18" i="2"/>
  <c r="BA18" i="2"/>
  <c r="W16" i="1"/>
  <c r="O17" i="1"/>
  <c r="Q16" i="1"/>
  <c r="AI15" i="1"/>
  <c r="AJ15" i="1" s="1"/>
  <c r="X15" i="1"/>
  <c r="I23" i="1"/>
  <c r="K22" i="1"/>
  <c r="M22" i="1" s="1"/>
  <c r="N22" i="1" s="1"/>
  <c r="T15" i="2"/>
  <c r="V15" i="2" s="1"/>
  <c r="W15" i="2"/>
  <c r="AM14" i="3" l="1"/>
  <c r="AN14" i="3" s="1"/>
  <c r="AC12" i="2"/>
  <c r="AR10" i="3"/>
  <c r="AQ10" i="3"/>
  <c r="AO11" i="3"/>
  <c r="AO12" i="3" s="1"/>
  <c r="AL15" i="3"/>
  <c r="AK15" i="3"/>
  <c r="AJ15" i="3"/>
  <c r="AG17" i="3"/>
  <c r="AH16" i="3"/>
  <c r="AI16" i="3"/>
  <c r="Y14" i="3"/>
  <c r="Z14" i="3" s="1"/>
  <c r="W15" i="3"/>
  <c r="X16" i="2"/>
  <c r="AP15" i="2"/>
  <c r="AT15" i="2"/>
  <c r="V15" i="3"/>
  <c r="R16" i="3"/>
  <c r="T16" i="3" s="1"/>
  <c r="V16" i="3" s="1"/>
  <c r="S17" i="3"/>
  <c r="AB16" i="3"/>
  <c r="U16" i="3"/>
  <c r="BE20" i="3"/>
  <c r="AZ20" i="3"/>
  <c r="AW21" i="3"/>
  <c r="AX21" i="3"/>
  <c r="AY21" i="3"/>
  <c r="BG20" i="3"/>
  <c r="BC22" i="3"/>
  <c r="BD22" i="3" s="1"/>
  <c r="AU23" i="3"/>
  <c r="AV22" i="3"/>
  <c r="BF20" i="3"/>
  <c r="BH19" i="3"/>
  <c r="BI19" i="3" s="1"/>
  <c r="BJ19" i="3" s="1"/>
  <c r="K45" i="4"/>
  <c r="N44" i="4"/>
  <c r="AI17" i="6"/>
  <c r="AM17" i="6"/>
  <c r="AJ16" i="6"/>
  <c r="AD16" i="6"/>
  <c r="AE17" i="6" s="1"/>
  <c r="AF16" i="6"/>
  <c r="AA44" i="6"/>
  <c r="AB70" i="6"/>
  <c r="AJ70" i="6" s="1"/>
  <c r="Y45" i="6"/>
  <c r="AB44" i="6"/>
  <c r="AJ44" i="6" s="1"/>
  <c r="AD17" i="6"/>
  <c r="Z18" i="6"/>
  <c r="AB18" i="6"/>
  <c r="AM18" i="6" s="1"/>
  <c r="AA18" i="6"/>
  <c r="AA70" i="6"/>
  <c r="Y71" i="6"/>
  <c r="U17" i="4"/>
  <c r="AQ17" i="4"/>
  <c r="AY16" i="4"/>
  <c r="V19" i="1"/>
  <c r="U19" i="1"/>
  <c r="AV17" i="2"/>
  <c r="AS18" i="2"/>
  <c r="U17" i="2"/>
  <c r="T16" i="2"/>
  <c r="V16" i="2" s="1"/>
  <c r="W16" i="2"/>
  <c r="BF17" i="2"/>
  <c r="BK17" i="2"/>
  <c r="Y15" i="2" s="1"/>
  <c r="BN17" i="2"/>
  <c r="AB15" i="2" s="1"/>
  <c r="BM17" i="2"/>
  <c r="AA15" i="2" s="1"/>
  <c r="BL17" i="2"/>
  <c r="Z15" i="2" s="1"/>
  <c r="BO16" i="2"/>
  <c r="BP16" i="2" s="1"/>
  <c r="BQ16" i="2" s="1"/>
  <c r="BD18" i="2"/>
  <c r="BC18" i="2"/>
  <c r="BB18" i="2"/>
  <c r="BJ18" i="2"/>
  <c r="AZ20" i="2"/>
  <c r="BI19" i="2"/>
  <c r="BA19" i="2"/>
  <c r="I24" i="1"/>
  <c r="K23" i="1"/>
  <c r="M23" i="1" s="1"/>
  <c r="N23" i="1" s="1"/>
  <c r="O18" i="1"/>
  <c r="W17" i="1"/>
  <c r="X17" i="1" s="1"/>
  <c r="Q17" i="1"/>
  <c r="AI16" i="1"/>
  <c r="AJ16" i="1" s="1"/>
  <c r="AJ10" i="1" s="1"/>
  <c r="X16" i="1"/>
  <c r="AM15" i="3" l="1"/>
  <c r="AN15" i="3" s="1"/>
  <c r="AR12" i="3"/>
  <c r="AQ12" i="3"/>
  <c r="AG18" i="3"/>
  <c r="AI17" i="3"/>
  <c r="AH17" i="3"/>
  <c r="AR11" i="3"/>
  <c r="AQ11" i="3"/>
  <c r="AL16" i="3"/>
  <c r="AK16" i="3"/>
  <c r="AJ16" i="3"/>
  <c r="Y15" i="3"/>
  <c r="Z15" i="3" s="1"/>
  <c r="W16" i="3"/>
  <c r="X16" i="3"/>
  <c r="AP16" i="2"/>
  <c r="AT16" i="2"/>
  <c r="X17" i="2"/>
  <c r="AK11" i="2"/>
  <c r="AO13" i="3"/>
  <c r="R17" i="3"/>
  <c r="T17" i="3" s="1"/>
  <c r="X17" i="3" s="1"/>
  <c r="S18" i="3"/>
  <c r="AB17" i="3"/>
  <c r="U17" i="3"/>
  <c r="BG21" i="3"/>
  <c r="BH20" i="3"/>
  <c r="BI20" i="3" s="1"/>
  <c r="BJ20" i="3" s="1"/>
  <c r="BF21" i="3"/>
  <c r="BC23" i="3"/>
  <c r="BD23" i="3" s="1"/>
  <c r="AU24" i="3"/>
  <c r="AV23" i="3"/>
  <c r="BE21" i="3"/>
  <c r="AZ21" i="3"/>
  <c r="AW22" i="3"/>
  <c r="AX22" i="3"/>
  <c r="AY22" i="3"/>
  <c r="AJ17" i="6"/>
  <c r="AE18" i="6"/>
  <c r="AN18" i="6" s="1"/>
  <c r="K46" i="4"/>
  <c r="N45" i="4"/>
  <c r="AN17" i="6"/>
  <c r="AF17" i="6"/>
  <c r="AA45" i="6"/>
  <c r="AC18" i="6"/>
  <c r="AB71" i="6"/>
  <c r="Y46" i="6"/>
  <c r="AB45" i="6"/>
  <c r="AI18" i="6"/>
  <c r="AA19" i="6"/>
  <c r="AB19" i="6"/>
  <c r="AM19" i="6" s="1"/>
  <c r="Z19" i="6"/>
  <c r="Y72" i="6"/>
  <c r="AA71" i="6"/>
  <c r="AF11" i="2"/>
  <c r="AG11" i="2"/>
  <c r="AQ18" i="4"/>
  <c r="AY17" i="4"/>
  <c r="U18" i="4"/>
  <c r="AV18" i="2"/>
  <c r="T17" i="2"/>
  <c r="V17" i="2" s="1"/>
  <c r="W17" i="2"/>
  <c r="U18" i="2"/>
  <c r="BL18" i="2"/>
  <c r="Z16" i="2" s="1"/>
  <c r="BM18" i="2"/>
  <c r="AA16" i="2" s="1"/>
  <c r="BI20" i="2"/>
  <c r="AZ21" i="2"/>
  <c r="BA20" i="2"/>
  <c r="BO17" i="2"/>
  <c r="BP17" i="2" s="1"/>
  <c r="BQ17" i="2" s="1"/>
  <c r="BB19" i="2"/>
  <c r="BJ19" i="2"/>
  <c r="BC19" i="2"/>
  <c r="BD19" i="2"/>
  <c r="BN18" i="2"/>
  <c r="AB16" i="2" s="1"/>
  <c r="BK18" i="2"/>
  <c r="Y16" i="2" s="1"/>
  <c r="BF18" i="2"/>
  <c r="O19" i="1"/>
  <c r="W18" i="1"/>
  <c r="X18" i="1" s="1"/>
  <c r="Q18" i="1"/>
  <c r="I25" i="1"/>
  <c r="K24" i="1"/>
  <c r="M24" i="1" s="1"/>
  <c r="N24" i="1" s="1"/>
  <c r="AM16" i="3" l="1"/>
  <c r="AN16" i="3" s="1"/>
  <c r="AG19" i="3"/>
  <c r="AH18" i="3"/>
  <c r="AI18" i="3"/>
  <c r="AR13" i="3"/>
  <c r="AQ13" i="3"/>
  <c r="AK17" i="3"/>
  <c r="AL17" i="3"/>
  <c r="AJ17" i="3"/>
  <c r="Y16" i="3"/>
  <c r="Z16" i="3" s="1"/>
  <c r="W17" i="3"/>
  <c r="AP17" i="2"/>
  <c r="AT17" i="2"/>
  <c r="X18" i="2"/>
  <c r="AO14" i="3"/>
  <c r="V17" i="3"/>
  <c r="AB18" i="3"/>
  <c r="U18" i="3"/>
  <c r="S19" i="3"/>
  <c r="R18" i="3"/>
  <c r="T18" i="3" s="1"/>
  <c r="V18" i="3" s="1"/>
  <c r="AJ18" i="6"/>
  <c r="AJ9" i="6" s="1"/>
  <c r="Y7" i="6" s="1"/>
  <c r="BH21" i="3"/>
  <c r="BI21" i="3" s="1"/>
  <c r="BJ21" i="3" s="1"/>
  <c r="BF22" i="3"/>
  <c r="AW23" i="3"/>
  <c r="AX23" i="3"/>
  <c r="AY23" i="3"/>
  <c r="BE22" i="3"/>
  <c r="AZ22" i="3"/>
  <c r="AU25" i="3"/>
  <c r="BC24" i="3"/>
  <c r="BD24" i="3" s="1"/>
  <c r="AV24" i="3"/>
  <c r="BG22" i="3"/>
  <c r="AA46" i="6"/>
  <c r="K47" i="4"/>
  <c r="N46" i="4"/>
  <c r="AD18" i="6"/>
  <c r="AE19" i="6" s="1"/>
  <c r="AN19" i="6" s="1"/>
  <c r="AF18" i="6"/>
  <c r="AC19" i="6"/>
  <c r="AB72" i="6"/>
  <c r="Y47" i="6"/>
  <c r="AB46" i="6"/>
  <c r="Z20" i="6"/>
  <c r="AB20" i="6"/>
  <c r="AM20" i="6" s="1"/>
  <c r="AA20" i="6"/>
  <c r="Y73" i="6"/>
  <c r="AA72" i="6"/>
  <c r="AQ19" i="4"/>
  <c r="AY18" i="4"/>
  <c r="U19" i="4"/>
  <c r="U19" i="2"/>
  <c r="T18" i="2"/>
  <c r="V18" i="2" s="1"/>
  <c r="W18" i="2"/>
  <c r="BO18" i="2"/>
  <c r="BP18" i="2" s="1"/>
  <c r="BQ18" i="2" s="1"/>
  <c r="BL19" i="2"/>
  <c r="Z17" i="2" s="1"/>
  <c r="BJ20" i="2"/>
  <c r="BD20" i="2"/>
  <c r="BC20" i="2"/>
  <c r="BB20" i="2"/>
  <c r="AZ22" i="2"/>
  <c r="BI21" i="2"/>
  <c r="BA21" i="2"/>
  <c r="BK19" i="2"/>
  <c r="BF19" i="2"/>
  <c r="BN19" i="2"/>
  <c r="AB17" i="2" s="1"/>
  <c r="BM19" i="2"/>
  <c r="AA17" i="2" s="1"/>
  <c r="I26" i="1"/>
  <c r="K25" i="1"/>
  <c r="M25" i="1" s="1"/>
  <c r="N25" i="1" s="1"/>
  <c r="O20" i="1"/>
  <c r="W19" i="1"/>
  <c r="X19" i="1" s="1"/>
  <c r="X10" i="1" s="1"/>
  <c r="F16" i="1" s="1"/>
  <c r="F20" i="1" s="1"/>
  <c r="Q19" i="1"/>
  <c r="AG20" i="3" l="1"/>
  <c r="AH19" i="3"/>
  <c r="AI19" i="3"/>
  <c r="AK18" i="3"/>
  <c r="AL18" i="3"/>
  <c r="AJ18" i="3"/>
  <c r="AR14" i="3"/>
  <c r="AQ14" i="3"/>
  <c r="AM17" i="3"/>
  <c r="AN17" i="3" s="1"/>
  <c r="Y17" i="3"/>
  <c r="Z17" i="3" s="1"/>
  <c r="W18" i="3"/>
  <c r="X18" i="3"/>
  <c r="AA47" i="6"/>
  <c r="AP18" i="2"/>
  <c r="AT18" i="2"/>
  <c r="X19" i="2"/>
  <c r="AP19" i="2" s="1"/>
  <c r="AO15" i="3"/>
  <c r="S20" i="3"/>
  <c r="R19" i="3"/>
  <c r="T19" i="3" s="1"/>
  <c r="X19" i="3" s="1"/>
  <c r="AB19" i="3"/>
  <c r="U19" i="3"/>
  <c r="BG23" i="3"/>
  <c r="BH22" i="3"/>
  <c r="BI22" i="3" s="1"/>
  <c r="BJ22" i="3" s="1"/>
  <c r="AW24" i="3"/>
  <c r="AX24" i="3"/>
  <c r="AY24" i="3"/>
  <c r="BC25" i="3"/>
  <c r="BD25" i="3" s="1"/>
  <c r="AV25" i="3"/>
  <c r="BF23" i="3"/>
  <c r="BE23" i="3"/>
  <c r="AZ23" i="3"/>
  <c r="K48" i="4"/>
  <c r="N47" i="4"/>
  <c r="AD19" i="6"/>
  <c r="AE20" i="6" s="1"/>
  <c r="AN20" i="6" s="1"/>
  <c r="AF19" i="6"/>
  <c r="AC20" i="6"/>
  <c r="Y48" i="6"/>
  <c r="AB47" i="6"/>
  <c r="AB73" i="6"/>
  <c r="AB21" i="6"/>
  <c r="AM21" i="6" s="1"/>
  <c r="Z21" i="6"/>
  <c r="AA21" i="6"/>
  <c r="Y74" i="6"/>
  <c r="AA73" i="6"/>
  <c r="U20" i="2"/>
  <c r="U20" i="4"/>
  <c r="AQ20" i="4"/>
  <c r="AY19" i="4"/>
  <c r="T19" i="2"/>
  <c r="V19" i="2" s="1"/>
  <c r="W19" i="2"/>
  <c r="AC13" i="2"/>
  <c r="AD13" i="2" s="1"/>
  <c r="BD21" i="2"/>
  <c r="BC21" i="2"/>
  <c r="BB21" i="2"/>
  <c r="BJ21" i="2"/>
  <c r="BF20" i="2"/>
  <c r="BK20" i="2"/>
  <c r="BN20" i="2"/>
  <c r="AB18" i="2" s="1"/>
  <c r="BL20" i="2"/>
  <c r="AZ23" i="2"/>
  <c r="BI22" i="2"/>
  <c r="BA22" i="2"/>
  <c r="BM20" i="2"/>
  <c r="BO19" i="2"/>
  <c r="BP19" i="2" s="1"/>
  <c r="BQ19" i="2" s="1"/>
  <c r="O21" i="1"/>
  <c r="Q20" i="1"/>
  <c r="I27" i="1"/>
  <c r="K26" i="1"/>
  <c r="M26" i="1" s="1"/>
  <c r="N26" i="1" s="1"/>
  <c r="AA48" i="6" l="1"/>
  <c r="AM18" i="3"/>
  <c r="AN18" i="3" s="1"/>
  <c r="AL19" i="3"/>
  <c r="AK19" i="3"/>
  <c r="AR15" i="3"/>
  <c r="AQ15" i="3"/>
  <c r="AG21" i="3"/>
  <c r="AI20" i="3"/>
  <c r="AH20" i="3"/>
  <c r="Y18" i="3"/>
  <c r="Z18" i="3" s="1"/>
  <c r="W19" i="3"/>
  <c r="X20" i="2"/>
  <c r="AP20" i="2" s="1"/>
  <c r="BH23" i="3"/>
  <c r="BI23" i="3" s="1"/>
  <c r="BJ23" i="3" s="1"/>
  <c r="AO16" i="3"/>
  <c r="V19" i="3"/>
  <c r="AB20" i="3"/>
  <c r="U20" i="3"/>
  <c r="R20" i="3"/>
  <c r="T20" i="3" s="1"/>
  <c r="X20" i="3" s="1"/>
  <c r="S21" i="3"/>
  <c r="BG24" i="3"/>
  <c r="BF24" i="3"/>
  <c r="AW25" i="3"/>
  <c r="AX25" i="3"/>
  <c r="AY25" i="3"/>
  <c r="BE24" i="3"/>
  <c r="AZ24" i="3"/>
  <c r="N48" i="4"/>
  <c r="K49" i="4"/>
  <c r="AD20" i="6"/>
  <c r="AE21" i="6" s="1"/>
  <c r="AN21" i="6" s="1"/>
  <c r="AF20" i="6"/>
  <c r="AC21" i="6"/>
  <c r="AB74" i="6"/>
  <c r="Y49" i="6"/>
  <c r="AB48" i="6"/>
  <c r="AB22" i="6"/>
  <c r="AM22" i="6" s="1"/>
  <c r="AA22" i="6"/>
  <c r="Z22" i="6"/>
  <c r="Y75" i="6"/>
  <c r="AA74" i="6"/>
  <c r="U21" i="2"/>
  <c r="T20" i="2"/>
  <c r="V20" i="2" s="1"/>
  <c r="U21" i="4"/>
  <c r="AY20" i="4"/>
  <c r="AQ21" i="4"/>
  <c r="W20" i="2"/>
  <c r="BO20" i="2"/>
  <c r="BP20" i="2" s="1"/>
  <c r="BQ20" i="2" s="1"/>
  <c r="BF21" i="2"/>
  <c r="BK21" i="2"/>
  <c r="BN21" i="2"/>
  <c r="BL21" i="2"/>
  <c r="BD22" i="2"/>
  <c r="BC22" i="2"/>
  <c r="BB22" i="2"/>
  <c r="BJ22" i="2"/>
  <c r="AZ24" i="2"/>
  <c r="BI23" i="2"/>
  <c r="BA23" i="2"/>
  <c r="BM21" i="2"/>
  <c r="K27" i="1"/>
  <c r="M27" i="1" s="1"/>
  <c r="N27" i="1" s="1"/>
  <c r="I28" i="1"/>
  <c r="O22" i="1"/>
  <c r="Q21" i="1"/>
  <c r="AA49" i="6" l="1"/>
  <c r="Y19" i="3"/>
  <c r="Z19" i="3" s="1"/>
  <c r="AG22" i="3"/>
  <c r="AH21" i="3"/>
  <c r="AI21" i="3"/>
  <c r="AL20" i="3"/>
  <c r="AK20" i="3"/>
  <c r="AR16" i="3"/>
  <c r="AR6" i="3" s="1"/>
  <c r="AQ16" i="3"/>
  <c r="W20" i="3"/>
  <c r="X21" i="2"/>
  <c r="AP21" i="2" s="1"/>
  <c r="BH24" i="3"/>
  <c r="BI24" i="3" s="1"/>
  <c r="BJ24" i="3" s="1"/>
  <c r="AO17" i="3"/>
  <c r="AQ17" i="3" s="1"/>
  <c r="V20" i="3"/>
  <c r="R21" i="3"/>
  <c r="T21" i="3" s="1"/>
  <c r="W21" i="3" s="1"/>
  <c r="S22" i="3"/>
  <c r="AB21" i="3"/>
  <c r="U21" i="3"/>
  <c r="BF25" i="3"/>
  <c r="BE25" i="3"/>
  <c r="AZ25" i="3"/>
  <c r="BG25" i="3"/>
  <c r="X8" i="3" s="1"/>
  <c r="Y8" i="3" s="1"/>
  <c r="N49" i="4"/>
  <c r="K50" i="4"/>
  <c r="AD21" i="6"/>
  <c r="AE22" i="6" s="1"/>
  <c r="AN22" i="6" s="1"/>
  <c r="AF21" i="6"/>
  <c r="AC22" i="6"/>
  <c r="AB75" i="6"/>
  <c r="Y50" i="6"/>
  <c r="AB49" i="6"/>
  <c r="AA23" i="6"/>
  <c r="AB23" i="6"/>
  <c r="AM23" i="6" s="1"/>
  <c r="Z23" i="6"/>
  <c r="Y76" i="6"/>
  <c r="AA75" i="6"/>
  <c r="U22" i="2"/>
  <c r="T21" i="2"/>
  <c r="V21" i="2" s="1"/>
  <c r="AY21" i="4"/>
  <c r="AQ22" i="4"/>
  <c r="U22" i="4"/>
  <c r="W21" i="2"/>
  <c r="AC15" i="2"/>
  <c r="AD15" i="2" s="1"/>
  <c r="BM22" i="2"/>
  <c r="BL22" i="2"/>
  <c r="BK22" i="2"/>
  <c r="BF22" i="2"/>
  <c r="BN22" i="2"/>
  <c r="BO21" i="2"/>
  <c r="BP21" i="2" s="1"/>
  <c r="BQ21" i="2" s="1"/>
  <c r="BB23" i="2"/>
  <c r="BJ23" i="2"/>
  <c r="BC23" i="2"/>
  <c r="BD23" i="2"/>
  <c r="BI24" i="2"/>
  <c r="BA24" i="2"/>
  <c r="AZ25" i="2"/>
  <c r="O23" i="1"/>
  <c r="Q22" i="1"/>
  <c r="K28" i="1"/>
  <c r="M28" i="1" s="1"/>
  <c r="N28" i="1" s="1"/>
  <c r="I29" i="1"/>
  <c r="K29" i="1" s="1"/>
  <c r="M29" i="1" s="1"/>
  <c r="N29" i="1" s="1"/>
  <c r="AA50" i="6" l="1"/>
  <c r="Y20" i="3"/>
  <c r="Z20" i="3" s="1"/>
  <c r="AG23" i="3"/>
  <c r="AI22" i="3"/>
  <c r="AH22" i="3"/>
  <c r="AJ22" i="3" s="1"/>
  <c r="AK21" i="3"/>
  <c r="AL21" i="3"/>
  <c r="Z8" i="3"/>
  <c r="AA9" i="3" s="1"/>
  <c r="AD9" i="3" s="1"/>
  <c r="X21" i="3"/>
  <c r="X22" i="2"/>
  <c r="AP22" i="2" s="1"/>
  <c r="AJ20" i="3"/>
  <c r="AM20" i="3" s="1"/>
  <c r="AN20" i="3" s="1"/>
  <c r="AJ19" i="3"/>
  <c r="AM19" i="3" s="1"/>
  <c r="AN19" i="3" s="1"/>
  <c r="AJ21" i="3"/>
  <c r="AO18" i="3"/>
  <c r="AQ18" i="3" s="1"/>
  <c r="V21" i="3"/>
  <c r="AB22" i="3"/>
  <c r="U22" i="3"/>
  <c r="S23" i="3"/>
  <c r="R22" i="3"/>
  <c r="T22" i="3" s="1"/>
  <c r="V22" i="3" s="1"/>
  <c r="BH25" i="3"/>
  <c r="BI25" i="3" s="1"/>
  <c r="BJ25" i="3" s="1"/>
  <c r="N50" i="4"/>
  <c r="K51" i="4"/>
  <c r="AD22" i="6"/>
  <c r="AE23" i="6" s="1"/>
  <c r="AN23" i="6" s="1"/>
  <c r="AF22" i="6"/>
  <c r="AC23" i="6"/>
  <c r="AB76" i="6"/>
  <c r="Y51" i="6"/>
  <c r="AA51" i="6" s="1"/>
  <c r="AB50" i="6"/>
  <c r="Z24" i="6"/>
  <c r="AB24" i="6"/>
  <c r="AM24" i="6" s="1"/>
  <c r="AA24" i="6"/>
  <c r="T22" i="2"/>
  <c r="V22" i="2" s="1"/>
  <c r="U23" i="2"/>
  <c r="Y77" i="6"/>
  <c r="AA76" i="6"/>
  <c r="W22" i="2"/>
  <c r="AY22" i="4"/>
  <c r="AQ23" i="4"/>
  <c r="U23" i="4"/>
  <c r="BL23" i="2"/>
  <c r="BK23" i="2"/>
  <c r="BF23" i="2"/>
  <c r="BN23" i="2"/>
  <c r="AZ26" i="2"/>
  <c r="BI25" i="2"/>
  <c r="BA25" i="2"/>
  <c r="BJ24" i="2"/>
  <c r="BD24" i="2"/>
  <c r="BC24" i="2"/>
  <c r="BB24" i="2"/>
  <c r="BO22" i="2"/>
  <c r="BP22" i="2" s="1"/>
  <c r="BQ22" i="2" s="1"/>
  <c r="BM23" i="2"/>
  <c r="O24" i="1"/>
  <c r="Q23" i="1"/>
  <c r="AM21" i="3" l="1"/>
  <c r="AN21" i="3" s="1"/>
  <c r="AC9" i="3"/>
  <c r="AK22" i="3"/>
  <c r="AL22" i="3"/>
  <c r="AG24" i="3"/>
  <c r="AI23" i="3"/>
  <c r="AH23" i="3"/>
  <c r="AA10" i="3"/>
  <c r="AC10" i="3" s="1"/>
  <c r="Y21" i="3"/>
  <c r="Z21" i="3" s="1"/>
  <c r="X22" i="3"/>
  <c r="W22" i="3"/>
  <c r="X23" i="2"/>
  <c r="AP23" i="2" s="1"/>
  <c r="AO19" i="3"/>
  <c r="AQ19" i="3" s="1"/>
  <c r="S24" i="3"/>
  <c r="R23" i="3"/>
  <c r="T23" i="3" s="1"/>
  <c r="W23" i="3" s="1"/>
  <c r="AB23" i="3"/>
  <c r="U23" i="3"/>
  <c r="N51" i="4"/>
  <c r="K52" i="4"/>
  <c r="W23" i="2"/>
  <c r="U24" i="2"/>
  <c r="T23" i="2"/>
  <c r="V23" i="2" s="1"/>
  <c r="AD23" i="6"/>
  <c r="AE24" i="6" s="1"/>
  <c r="AN24" i="6" s="1"/>
  <c r="AF23" i="6"/>
  <c r="AC24" i="6"/>
  <c r="Y52" i="6"/>
  <c r="AA52" i="6" s="1"/>
  <c r="AB51" i="6"/>
  <c r="AB77" i="6"/>
  <c r="AB25" i="6"/>
  <c r="AM25" i="6" s="1"/>
  <c r="AA25" i="6"/>
  <c r="Z25" i="6"/>
  <c r="Y78" i="6"/>
  <c r="AA77" i="6"/>
  <c r="U24" i="4"/>
  <c r="AY23" i="4"/>
  <c r="AQ24" i="4"/>
  <c r="BM24" i="2"/>
  <c r="BD25" i="2"/>
  <c r="BC25" i="2"/>
  <c r="BB25" i="2"/>
  <c r="BJ25" i="2"/>
  <c r="AZ27" i="2"/>
  <c r="BI26" i="2"/>
  <c r="BA26" i="2"/>
  <c r="BF24" i="2"/>
  <c r="BK24" i="2"/>
  <c r="BN24" i="2"/>
  <c r="BL24" i="2"/>
  <c r="BO23" i="2"/>
  <c r="BP23" i="2" s="1"/>
  <c r="BQ23" i="2" s="1"/>
  <c r="O25" i="1"/>
  <c r="Q24" i="1"/>
  <c r="AM22" i="3" l="1"/>
  <c r="AN22" i="3" s="1"/>
  <c r="AD10" i="3"/>
  <c r="AA11" i="3"/>
  <c r="AA12" i="3" s="1"/>
  <c r="AL23" i="3"/>
  <c r="AK23" i="3"/>
  <c r="AJ23" i="3"/>
  <c r="AG25" i="3"/>
  <c r="AI24" i="3"/>
  <c r="AH24" i="3"/>
  <c r="Y22" i="3"/>
  <c r="Z22" i="3" s="1"/>
  <c r="X23" i="3"/>
  <c r="X24" i="2"/>
  <c r="AP24" i="2" s="1"/>
  <c r="AO20" i="3"/>
  <c r="AQ20" i="3" s="1"/>
  <c r="V23" i="3"/>
  <c r="AB24" i="3"/>
  <c r="U24" i="3"/>
  <c r="R24" i="3"/>
  <c r="T24" i="3" s="1"/>
  <c r="W24" i="3" s="1"/>
  <c r="S25" i="3"/>
  <c r="N52" i="4"/>
  <c r="K53" i="4"/>
  <c r="N53" i="4" s="1"/>
  <c r="W24" i="2"/>
  <c r="U25" i="2"/>
  <c r="T24" i="2"/>
  <c r="V24" i="2" s="1"/>
  <c r="AD24" i="6"/>
  <c r="AE25" i="6" s="1"/>
  <c r="AN25" i="6" s="1"/>
  <c r="AF24" i="6"/>
  <c r="AC25" i="6"/>
  <c r="AB78" i="6"/>
  <c r="Y53" i="6"/>
  <c r="AA53" i="6" s="1"/>
  <c r="AB52" i="6"/>
  <c r="AB26" i="6"/>
  <c r="AM26" i="6" s="1"/>
  <c r="AA26" i="6"/>
  <c r="Z26" i="6"/>
  <c r="Y79" i="6"/>
  <c r="AA78" i="6"/>
  <c r="U25" i="4"/>
  <c r="AQ25" i="4"/>
  <c r="AY24" i="4"/>
  <c r="BD26" i="2"/>
  <c r="BC26" i="2"/>
  <c r="BB26" i="2"/>
  <c r="BJ26" i="2"/>
  <c r="AZ28" i="2"/>
  <c r="BI27" i="2"/>
  <c r="BA27" i="2"/>
  <c r="BF25" i="2"/>
  <c r="BK25" i="2"/>
  <c r="BN25" i="2"/>
  <c r="BL25" i="2"/>
  <c r="BO24" i="2"/>
  <c r="BP24" i="2" s="1"/>
  <c r="BQ24" i="2" s="1"/>
  <c r="BM25" i="2"/>
  <c r="O26" i="1"/>
  <c r="Q25" i="1"/>
  <c r="AM23" i="3" l="1"/>
  <c r="AN23" i="3" s="1"/>
  <c r="AD11" i="3"/>
  <c r="AC11" i="3"/>
  <c r="AL24" i="3"/>
  <c r="AK24" i="3"/>
  <c r="AJ24" i="3"/>
  <c r="AI25" i="3"/>
  <c r="AH25" i="3"/>
  <c r="Y23" i="3"/>
  <c r="Z23" i="3" s="1"/>
  <c r="X24" i="3"/>
  <c r="AC12" i="3"/>
  <c r="AD12" i="3"/>
  <c r="AA13" i="3"/>
  <c r="X25" i="2"/>
  <c r="AP25" i="2" s="1"/>
  <c r="W25" i="2"/>
  <c r="AO21" i="3"/>
  <c r="AQ21" i="3" s="1"/>
  <c r="V24" i="3"/>
  <c r="R25" i="3"/>
  <c r="T25" i="3" s="1"/>
  <c r="W25" i="3" s="1"/>
  <c r="AB25" i="3"/>
  <c r="U25" i="3"/>
  <c r="T25" i="2"/>
  <c r="V25" i="2" s="1"/>
  <c r="U26" i="2"/>
  <c r="AD25" i="6"/>
  <c r="AE26" i="6" s="1"/>
  <c r="AN26" i="6" s="1"/>
  <c r="AF25" i="6"/>
  <c r="AC26" i="6"/>
  <c r="Y54" i="6"/>
  <c r="AB53" i="6"/>
  <c r="AB79" i="6"/>
  <c r="AA27" i="6"/>
  <c r="AB27" i="6"/>
  <c r="AM27" i="6" s="1"/>
  <c r="Z27" i="6"/>
  <c r="Y80" i="6"/>
  <c r="AA79" i="6"/>
  <c r="AY25" i="4"/>
  <c r="BO25" i="2"/>
  <c r="BP25" i="2" s="1"/>
  <c r="BQ25" i="2" s="1"/>
  <c r="BM26" i="2"/>
  <c r="BB27" i="2"/>
  <c r="BJ27" i="2"/>
  <c r="BC27" i="2"/>
  <c r="BD27" i="2"/>
  <c r="BI28" i="2"/>
  <c r="BA28" i="2"/>
  <c r="BK26" i="2"/>
  <c r="BF26" i="2"/>
  <c r="BN26" i="2"/>
  <c r="BL26" i="2"/>
  <c r="O27" i="1"/>
  <c r="Q26" i="1"/>
  <c r="AM24" i="3" l="1"/>
  <c r="AN24" i="3" s="1"/>
  <c r="AA54" i="6"/>
  <c r="AK25" i="3"/>
  <c r="AL25" i="3"/>
  <c r="AJ25" i="3"/>
  <c r="Y24" i="3"/>
  <c r="Z24" i="3" s="1"/>
  <c r="X25" i="3"/>
  <c r="AC13" i="3"/>
  <c r="AD13" i="3"/>
  <c r="AA14" i="3"/>
  <c r="X26" i="2"/>
  <c r="AP26" i="2" s="1"/>
  <c r="AO22" i="3"/>
  <c r="AQ22" i="3" s="1"/>
  <c r="V25" i="3"/>
  <c r="U27" i="2"/>
  <c r="W26" i="2"/>
  <c r="T26" i="2"/>
  <c r="V26" i="2" s="1"/>
  <c r="AF26" i="6"/>
  <c r="AD26" i="6"/>
  <c r="AE27" i="6" s="1"/>
  <c r="AN27" i="6" s="1"/>
  <c r="AC27" i="6"/>
  <c r="AB80" i="6"/>
  <c r="AB54" i="6"/>
  <c r="Z28" i="6"/>
  <c r="AC28" i="6" s="1"/>
  <c r="AB28" i="6"/>
  <c r="AM28" i="6" s="1"/>
  <c r="AA28" i="6"/>
  <c r="AA80" i="6"/>
  <c r="BM27" i="2"/>
  <c r="BO26" i="2"/>
  <c r="BP26" i="2" s="1"/>
  <c r="BQ26" i="2" s="1"/>
  <c r="BD28" i="2"/>
  <c r="BC28" i="2"/>
  <c r="BB28" i="2"/>
  <c r="BJ28" i="2"/>
  <c r="BL27" i="2"/>
  <c r="BK27" i="2"/>
  <c r="BF27" i="2"/>
  <c r="BN27" i="2"/>
  <c r="O28" i="1"/>
  <c r="Q27" i="1"/>
  <c r="AM25" i="3" l="1"/>
  <c r="AN25" i="3" s="1"/>
  <c r="Y25" i="3"/>
  <c r="Z25" i="3" s="1"/>
  <c r="AC14" i="3"/>
  <c r="AD14" i="3"/>
  <c r="AA15" i="3"/>
  <c r="X27" i="2"/>
  <c r="AP27" i="2" s="1"/>
  <c r="U28" i="2"/>
  <c r="T27" i="2"/>
  <c r="V27" i="2" s="1"/>
  <c r="AO23" i="3"/>
  <c r="AQ23" i="3" s="1"/>
  <c r="W27" i="2"/>
  <c r="AD27" i="6"/>
  <c r="AE28" i="6" s="1"/>
  <c r="AF27" i="6"/>
  <c r="AD28" i="6"/>
  <c r="BM28" i="2"/>
  <c r="BO27" i="2"/>
  <c r="BP27" i="2" s="1"/>
  <c r="BQ27" i="2" s="1"/>
  <c r="BF28" i="2"/>
  <c r="BK28" i="2"/>
  <c r="BN28" i="2"/>
  <c r="BL28" i="2"/>
  <c r="O29" i="1"/>
  <c r="Q29" i="1" s="1"/>
  <c r="Q28" i="1"/>
  <c r="AC15" i="3" l="1"/>
  <c r="AA16" i="3"/>
  <c r="AD15" i="3"/>
  <c r="Y17" i="2"/>
  <c r="Y21" i="2"/>
  <c r="Y24" i="2"/>
  <c r="Y23" i="2"/>
  <c r="Y18" i="2"/>
  <c r="Y26" i="2"/>
  <c r="Y25" i="2"/>
  <c r="Y20" i="2"/>
  <c r="Y19" i="2"/>
  <c r="Y27" i="2"/>
  <c r="Y22" i="2"/>
  <c r="X28" i="2"/>
  <c r="AP28" i="2" s="1"/>
  <c r="Z18" i="2"/>
  <c r="Z27" i="2"/>
  <c r="Z24" i="2"/>
  <c r="Z22" i="2"/>
  <c r="Z25" i="2"/>
  <c r="Z26" i="2"/>
  <c r="Z21" i="2"/>
  <c r="Z23" i="2"/>
  <c r="Z20" i="2"/>
  <c r="Z19" i="2"/>
  <c r="AA24" i="2"/>
  <c r="AA23" i="2"/>
  <c r="AA21" i="2"/>
  <c r="AA18" i="2"/>
  <c r="AA27" i="2"/>
  <c r="AA22" i="2"/>
  <c r="AA19" i="2"/>
  <c r="AA26" i="2"/>
  <c r="AA25" i="2"/>
  <c r="AA20" i="2"/>
  <c r="AC16" i="2"/>
  <c r="AD16" i="2" s="1"/>
  <c r="AB27" i="2"/>
  <c r="AB21" i="2"/>
  <c r="AB23" i="2"/>
  <c r="AB25" i="2"/>
  <c r="AB22" i="2"/>
  <c r="AB19" i="2"/>
  <c r="AB24" i="2"/>
  <c r="AB20" i="2"/>
  <c r="AB26" i="2"/>
  <c r="T28" i="2"/>
  <c r="W28" i="2"/>
  <c r="AO24" i="3"/>
  <c r="AQ24" i="3" s="1"/>
  <c r="AN28" i="6"/>
  <c r="AN9" i="6" s="1"/>
  <c r="S7" i="6" s="1"/>
  <c r="AF28" i="6"/>
  <c r="AF9" i="6" s="1"/>
  <c r="AD12" i="2"/>
  <c r="AC14" i="2"/>
  <c r="AD14" i="2" s="1"/>
  <c r="BO28" i="2"/>
  <c r="BP28" i="2" s="1"/>
  <c r="BQ28" i="2" s="1"/>
  <c r="Q10" i="1"/>
  <c r="V28" i="2" l="1"/>
  <c r="Y28" i="2" s="1"/>
  <c r="AC16" i="3"/>
  <c r="AA17" i="3"/>
  <c r="AD16" i="3"/>
  <c r="AC19" i="2"/>
  <c r="AD19" i="2" s="1"/>
  <c r="AB28" i="2"/>
  <c r="AC21" i="2"/>
  <c r="AD21" i="2" s="1"/>
  <c r="AC26" i="2"/>
  <c r="AD26" i="2" s="1"/>
  <c r="AC25" i="2"/>
  <c r="AD25" i="2" s="1"/>
  <c r="AC24" i="2"/>
  <c r="AD24" i="2" s="1"/>
  <c r="AC20" i="2"/>
  <c r="AD20" i="2" s="1"/>
  <c r="AC23" i="2"/>
  <c r="AD23" i="2" s="1"/>
  <c r="AC18" i="2"/>
  <c r="AD18" i="2" s="1"/>
  <c r="AC27" i="2"/>
  <c r="AD27" i="2" s="1"/>
  <c r="Y6" i="6"/>
  <c r="Y9" i="6" s="1"/>
  <c r="AK37" i="6" s="1"/>
  <c r="AO25" i="3"/>
  <c r="AQ25" i="3" s="1"/>
  <c r="AC11" i="2"/>
  <c r="AD11" i="2" s="1"/>
  <c r="AE12" i="2" s="1"/>
  <c r="AL12" i="2" s="1"/>
  <c r="AI11" i="2"/>
  <c r="AC17" i="2"/>
  <c r="AD17" i="2" s="1"/>
  <c r="AC22" i="2"/>
  <c r="AD22" i="2" s="1"/>
  <c r="F15" i="1"/>
  <c r="F17" i="1" s="1"/>
  <c r="F19" i="1"/>
  <c r="F21" i="1" s="1"/>
  <c r="Z28" i="2" l="1"/>
  <c r="AA28" i="2"/>
  <c r="AC17" i="3"/>
  <c r="AA18" i="3"/>
  <c r="AQ6" i="3"/>
  <c r="M15" i="3" s="1"/>
  <c r="AD6" i="3" s="1"/>
  <c r="AK63" i="6"/>
  <c r="AU12" i="2"/>
  <c r="AN12" i="2" s="1"/>
  <c r="AQ12" i="2"/>
  <c r="AR12" i="2"/>
  <c r="AG12" i="2"/>
  <c r="AI12" i="2"/>
  <c r="AH12" i="2"/>
  <c r="AJ12" i="2"/>
  <c r="AF12" i="2"/>
  <c r="AE13" i="2"/>
  <c r="AL13" i="2" s="1"/>
  <c r="AK12" i="2"/>
  <c r="E49" i="1"/>
  <c r="E54" i="1"/>
  <c r="E52" i="1"/>
  <c r="E50" i="1"/>
  <c r="E55" i="1"/>
  <c r="E51" i="1"/>
  <c r="E48" i="1"/>
  <c r="E53" i="1"/>
  <c r="E33" i="1"/>
  <c r="E31" i="1"/>
  <c r="E28" i="1"/>
  <c r="E29" i="1"/>
  <c r="E32" i="1"/>
  <c r="E34" i="1"/>
  <c r="E27" i="1"/>
  <c r="E30" i="1"/>
  <c r="E26" i="1"/>
  <c r="AC28" i="2" l="1"/>
  <c r="AD28" i="2" s="1"/>
  <c r="AC18" i="3"/>
  <c r="AA19" i="3"/>
  <c r="AU13" i="2"/>
  <c r="AN13" i="2" s="1"/>
  <c r="AQ13" i="2"/>
  <c r="AR13" i="2"/>
  <c r="AG13" i="2"/>
  <c r="AI13" i="2"/>
  <c r="AJ13" i="2"/>
  <c r="AF13" i="2"/>
  <c r="AH13" i="2"/>
  <c r="AK13" i="2"/>
  <c r="AE14" i="2"/>
  <c r="AL14" i="2" s="1"/>
  <c r="AC19" i="3" l="1"/>
  <c r="AA20" i="3"/>
  <c r="AU14" i="2"/>
  <c r="AN14" i="2" s="1"/>
  <c r="AN5" i="2" s="1"/>
  <c r="AR14" i="2"/>
  <c r="AQ14" i="2"/>
  <c r="AJ14" i="2"/>
  <c r="AI14" i="2"/>
  <c r="AF14" i="2"/>
  <c r="AG14" i="2"/>
  <c r="AH14" i="2"/>
  <c r="AK14" i="2"/>
  <c r="AE15" i="2"/>
  <c r="AL15" i="2" s="1"/>
  <c r="AC20" i="3" l="1"/>
  <c r="AA21" i="3"/>
  <c r="AU15" i="2"/>
  <c r="AR15" i="2"/>
  <c r="AQ15" i="2"/>
  <c r="AF15" i="2"/>
  <c r="AJ15" i="2"/>
  <c r="AG15" i="2"/>
  <c r="AI15" i="2"/>
  <c r="AH15" i="2"/>
  <c r="AK15" i="2"/>
  <c r="AE16" i="2"/>
  <c r="AL16" i="2" s="1"/>
  <c r="AC21" i="3" l="1"/>
  <c r="AA22" i="3"/>
  <c r="AU16" i="2"/>
  <c r="AQ16" i="2"/>
  <c r="AR16" i="2"/>
  <c r="AF16" i="2"/>
  <c r="AJ16" i="2"/>
  <c r="AG16" i="2"/>
  <c r="AI16" i="2"/>
  <c r="AH16" i="2"/>
  <c r="AK16" i="2"/>
  <c r="AE17" i="2"/>
  <c r="AL17" i="2" s="1"/>
  <c r="AC22" i="3" l="1"/>
  <c r="AA23" i="3"/>
  <c r="AU17" i="2"/>
  <c r="AQ17" i="2"/>
  <c r="AR17" i="2"/>
  <c r="AJ17" i="2"/>
  <c r="AG17" i="2"/>
  <c r="AH17" i="2"/>
  <c r="AI17" i="2"/>
  <c r="AF17" i="2"/>
  <c r="AK17" i="2"/>
  <c r="AE18" i="2"/>
  <c r="AL18" i="2" s="1"/>
  <c r="AC23" i="3" l="1"/>
  <c r="AA24" i="3"/>
  <c r="AU18" i="2"/>
  <c r="AR18" i="2"/>
  <c r="AQ18" i="2"/>
  <c r="AJ18" i="2"/>
  <c r="AF18" i="2"/>
  <c r="AI18" i="2"/>
  <c r="AH18" i="2"/>
  <c r="AG18" i="2"/>
  <c r="AK18" i="2"/>
  <c r="AE19" i="2"/>
  <c r="AL19" i="2" s="1"/>
  <c r="AC24" i="3" l="1"/>
  <c r="AA25" i="3"/>
  <c r="AC25" i="3" s="1"/>
  <c r="AR19" i="2"/>
  <c r="AQ19" i="2"/>
  <c r="AH19" i="2"/>
  <c r="AF19" i="2"/>
  <c r="AG19" i="2"/>
  <c r="AJ19" i="2"/>
  <c r="AI19" i="2"/>
  <c r="AK19" i="2"/>
  <c r="AE20" i="2"/>
  <c r="AL20" i="2" s="1"/>
  <c r="AC6" i="3" l="1"/>
  <c r="S6" i="3" s="1"/>
  <c r="AQ20" i="2"/>
  <c r="AR20" i="2"/>
  <c r="AJ20" i="2"/>
  <c r="AI20" i="2"/>
  <c r="AF20" i="2"/>
  <c r="AH20" i="2"/>
  <c r="AG20" i="2"/>
  <c r="AK20" i="2"/>
  <c r="AE21" i="2"/>
  <c r="AL21" i="2" s="1"/>
  <c r="AQ21" i="2" l="1"/>
  <c r="AR21" i="2"/>
  <c r="AG21" i="2"/>
  <c r="AI21" i="2"/>
  <c r="AF21" i="2"/>
  <c r="AH21" i="2"/>
  <c r="AJ21" i="2"/>
  <c r="AK21" i="2"/>
  <c r="AE22" i="2"/>
  <c r="AL22" i="2" s="1"/>
  <c r="AR22" i="2" l="1"/>
  <c r="AQ22" i="2"/>
  <c r="AG22" i="2"/>
  <c r="AI22" i="2"/>
  <c r="AJ22" i="2"/>
  <c r="AF22" i="2"/>
  <c r="AH22" i="2"/>
  <c r="AE23" i="2"/>
  <c r="AL23" i="2" s="1"/>
  <c r="AK22" i="2"/>
  <c r="AR23" i="2" l="1"/>
  <c r="AQ23" i="2"/>
  <c r="AJ23" i="2"/>
  <c r="AF23" i="2"/>
  <c r="AG23" i="2"/>
  <c r="AI23" i="2"/>
  <c r="AH23" i="2"/>
  <c r="AK23" i="2"/>
  <c r="AE24" i="2"/>
  <c r="AL24" i="2" s="1"/>
  <c r="AR24" i="2" l="1"/>
  <c r="AQ24" i="2"/>
  <c r="AI24" i="2"/>
  <c r="AG24" i="2"/>
  <c r="AH24" i="2"/>
  <c r="AJ24" i="2"/>
  <c r="AF24" i="2"/>
  <c r="AK24" i="2"/>
  <c r="AE25" i="2"/>
  <c r="AL25" i="2" s="1"/>
  <c r="AQ25" i="2" l="1"/>
  <c r="AR25" i="2"/>
  <c r="AH25" i="2"/>
  <c r="AJ25" i="2"/>
  <c r="AI25" i="2"/>
  <c r="AF25" i="2"/>
  <c r="AG25" i="2"/>
  <c r="AK25" i="2"/>
  <c r="AE26" i="2"/>
  <c r="AL26" i="2" s="1"/>
  <c r="AR26" i="2" l="1"/>
  <c r="AQ26" i="2"/>
  <c r="AI26" i="2"/>
  <c r="AF26" i="2"/>
  <c r="AH26" i="2"/>
  <c r="AG26" i="2"/>
  <c r="AJ26" i="2"/>
  <c r="AK26" i="2"/>
  <c r="AE27" i="2"/>
  <c r="AL27" i="2" s="1"/>
  <c r="AQ27" i="2" l="1"/>
  <c r="AR27" i="2"/>
  <c r="AH27" i="2"/>
  <c r="AF27" i="2"/>
  <c r="AG27" i="2"/>
  <c r="AJ27" i="2"/>
  <c r="AI27" i="2"/>
  <c r="AK27" i="2"/>
  <c r="AE28" i="2"/>
  <c r="AL28" i="2" s="1"/>
  <c r="AL5" i="2" l="1"/>
  <c r="AR28" i="2"/>
  <c r="AR5" i="2" s="1"/>
  <c r="AQ28" i="2"/>
  <c r="AQ5" i="2" s="1"/>
  <c r="AJ28" i="2"/>
  <c r="AK4" i="2" s="1"/>
  <c r="AI28" i="2"/>
  <c r="AI5" i="2" s="1"/>
  <c r="AF28" i="2"/>
  <c r="AG4" i="2" s="1"/>
  <c r="AG28" i="2"/>
  <c r="AG5" i="2" s="1"/>
  <c r="AH28" i="2"/>
  <c r="AI4" i="2" s="1"/>
  <c r="AK28" i="2"/>
  <c r="AK5" i="2" s="1"/>
  <c r="AB4" i="2" l="1"/>
  <c r="R25" i="4"/>
  <c r="T25" i="4" s="1"/>
  <c r="R24" i="4"/>
  <c r="T24" i="4" s="1"/>
  <c r="AP25" i="4"/>
  <c r="AR25" i="4" s="1"/>
  <c r="R23" i="4"/>
  <c r="T23" i="4" s="1"/>
  <c r="AP24" i="4"/>
  <c r="AR24" i="4" s="1"/>
  <c r="R22" i="4"/>
  <c r="T22" i="4" s="1"/>
  <c r="AP23" i="4"/>
  <c r="AR23" i="4" s="1"/>
  <c r="R21" i="4"/>
  <c r="T21" i="4" s="1"/>
  <c r="AP22" i="4"/>
  <c r="AX22" i="4" s="1"/>
  <c r="AZ22" i="4" s="1"/>
  <c r="R20" i="4"/>
  <c r="T20" i="4" s="1"/>
  <c r="AP21" i="4"/>
  <c r="AR21" i="4" s="1"/>
  <c r="R19" i="4"/>
  <c r="T19" i="4" s="1"/>
  <c r="AP20" i="4"/>
  <c r="AR20" i="4" s="1"/>
  <c r="R18" i="4"/>
  <c r="T18" i="4" s="1"/>
  <c r="AP19" i="4"/>
  <c r="R17" i="4"/>
  <c r="T17" i="4" s="1"/>
  <c r="AP18" i="4"/>
  <c r="AR18" i="4" s="1"/>
  <c r="R16" i="4"/>
  <c r="T16" i="4" s="1"/>
  <c r="AP17" i="4"/>
  <c r="AX17" i="4" s="1"/>
  <c r="AZ17" i="4" s="1"/>
  <c r="AP16" i="4"/>
  <c r="AR16" i="4" s="1"/>
  <c r="R15" i="4"/>
  <c r="T15" i="4" s="1"/>
  <c r="R14" i="4"/>
  <c r="T14" i="4" s="1"/>
  <c r="AP15" i="4"/>
  <c r="AR15" i="4" s="1"/>
  <c r="X42" i="6"/>
  <c r="Z42" i="6" s="1"/>
  <c r="AC42" i="6" s="1"/>
  <c r="R13" i="4"/>
  <c r="T13" i="4" s="1"/>
  <c r="AP14" i="4"/>
  <c r="AR14" i="4" s="1"/>
  <c r="R12" i="4"/>
  <c r="T12" i="4" s="1"/>
  <c r="AP13" i="4"/>
  <c r="AR13" i="4" s="1"/>
  <c r="R11" i="4"/>
  <c r="T11" i="4" s="1"/>
  <c r="AP12" i="4"/>
  <c r="AP11" i="4"/>
  <c r="AR11" i="4" s="1"/>
  <c r="R10" i="4"/>
  <c r="T10" i="4" s="1"/>
  <c r="X64" i="6"/>
  <c r="Z64" i="6" s="1"/>
  <c r="AC64" i="6" s="1"/>
  <c r="R9" i="4"/>
  <c r="T9" i="4" s="1"/>
  <c r="AP10" i="4"/>
  <c r="AX10" i="4" s="1"/>
  <c r="AZ10" i="4" s="1"/>
  <c r="AP9" i="4"/>
  <c r="AR9" i="4" s="1"/>
  <c r="AP8" i="4"/>
  <c r="AX8" i="4" s="1"/>
  <c r="AZ8" i="4" s="1"/>
  <c r="R8" i="4"/>
  <c r="T8" i="4" s="1"/>
  <c r="X38" i="6"/>
  <c r="Z38" i="6" s="1"/>
  <c r="AC38" i="6" s="1"/>
  <c r="J17" i="6"/>
  <c r="AT11" i="4" l="1"/>
  <c r="AS11" i="4"/>
  <c r="AU11" i="4"/>
  <c r="AU15" i="4"/>
  <c r="AT15" i="4"/>
  <c r="AS15" i="4"/>
  <c r="AU23" i="4"/>
  <c r="AT23" i="4"/>
  <c r="AS23" i="4"/>
  <c r="AU16" i="4"/>
  <c r="AT16" i="4"/>
  <c r="AS16" i="4"/>
  <c r="AU20" i="4"/>
  <c r="AT20" i="4"/>
  <c r="AS20" i="4"/>
  <c r="AU9" i="4"/>
  <c r="AT9" i="4"/>
  <c r="AS9" i="4"/>
  <c r="AU21" i="4"/>
  <c r="AT21" i="4"/>
  <c r="AS21" i="4"/>
  <c r="AU25" i="4"/>
  <c r="AS25" i="4"/>
  <c r="AT25" i="4"/>
  <c r="AU24" i="4"/>
  <c r="AT24" i="4"/>
  <c r="AS24" i="4"/>
  <c r="AU13" i="4"/>
  <c r="AT13" i="4"/>
  <c r="AS13" i="4"/>
  <c r="AU14" i="4"/>
  <c r="AT14" i="4"/>
  <c r="AS14" i="4"/>
  <c r="AS18" i="4"/>
  <c r="AT18" i="4"/>
  <c r="AU18" i="4"/>
  <c r="AX13" i="4"/>
  <c r="AZ13" i="4" s="1"/>
  <c r="AX20" i="4"/>
  <c r="AZ20" i="4" s="1"/>
  <c r="AX23" i="4"/>
  <c r="AZ23" i="4" s="1"/>
  <c r="AX9" i="4"/>
  <c r="AZ9" i="4" s="1"/>
  <c r="AX18" i="4"/>
  <c r="AZ18" i="4" s="1"/>
  <c r="AX16" i="4"/>
  <c r="AZ16" i="4" s="1"/>
  <c r="AX14" i="4"/>
  <c r="AZ14" i="4" s="1"/>
  <c r="AR22" i="4"/>
  <c r="AX11" i="4"/>
  <c r="AZ11" i="4" s="1"/>
  <c r="AR8" i="4"/>
  <c r="AX25" i="4"/>
  <c r="AZ25" i="4" s="1"/>
  <c r="AR10" i="4"/>
  <c r="AD38" i="6"/>
  <c r="AD64" i="6"/>
  <c r="X70" i="6"/>
  <c r="Z70" i="6" s="1"/>
  <c r="AC70" i="6" s="1"/>
  <c r="AR12" i="4"/>
  <c r="AX12" i="4"/>
  <c r="AZ12" i="4" s="1"/>
  <c r="AR19" i="4"/>
  <c r="AX19" i="4"/>
  <c r="AZ19" i="4" s="1"/>
  <c r="AD42" i="6"/>
  <c r="X79" i="6"/>
  <c r="Z79" i="6" s="1"/>
  <c r="AC79" i="6" s="1"/>
  <c r="X54" i="6"/>
  <c r="Z54" i="6" s="1"/>
  <c r="AC54" i="6" s="1"/>
  <c r="X75" i="6"/>
  <c r="Z75" i="6" s="1"/>
  <c r="AC75" i="6" s="1"/>
  <c r="X71" i="6"/>
  <c r="Z71" i="6" s="1"/>
  <c r="AC71" i="6" s="1"/>
  <c r="X74" i="6"/>
  <c r="Z74" i="6" s="1"/>
  <c r="AC74" i="6" s="1"/>
  <c r="X48" i="6"/>
  <c r="Z48" i="6" s="1"/>
  <c r="AC48" i="6" s="1"/>
  <c r="X72" i="6"/>
  <c r="Z72" i="6" s="1"/>
  <c r="AC72" i="6" s="1"/>
  <c r="X66" i="6"/>
  <c r="Z66" i="6" s="1"/>
  <c r="AC66" i="6" s="1"/>
  <c r="X52" i="6"/>
  <c r="Z52" i="6" s="1"/>
  <c r="AC52" i="6" s="1"/>
  <c r="X51" i="6"/>
  <c r="Z51" i="6" s="1"/>
  <c r="AC51" i="6" s="1"/>
  <c r="X50" i="6"/>
  <c r="Z50" i="6" s="1"/>
  <c r="AC50" i="6" s="1"/>
  <c r="X73" i="6"/>
  <c r="Z73" i="6" s="1"/>
  <c r="AC73" i="6" s="1"/>
  <c r="X47" i="6"/>
  <c r="Z47" i="6" s="1"/>
  <c r="AC47" i="6" s="1"/>
  <c r="X46" i="6"/>
  <c r="Z46" i="6" s="1"/>
  <c r="AC46" i="6" s="1"/>
  <c r="X40" i="6"/>
  <c r="Z40" i="6" s="1"/>
  <c r="AC40" i="6" s="1"/>
  <c r="X44" i="6"/>
  <c r="Z44" i="6" s="1"/>
  <c r="AC44" i="6" s="1"/>
  <c r="X41" i="6"/>
  <c r="Z41" i="6" s="1"/>
  <c r="AC41" i="6" s="1"/>
  <c r="X65" i="6"/>
  <c r="Z65" i="6" s="1"/>
  <c r="AC65" i="6" s="1"/>
  <c r="X49" i="6"/>
  <c r="Z49" i="6" s="1"/>
  <c r="AC49" i="6" s="1"/>
  <c r="X78" i="6"/>
  <c r="Z78" i="6" s="1"/>
  <c r="AC78" i="6" s="1"/>
  <c r="X69" i="6"/>
  <c r="Z69" i="6" s="1"/>
  <c r="AC69" i="6" s="1"/>
  <c r="X68" i="6"/>
  <c r="Z68" i="6" s="1"/>
  <c r="AC68" i="6" s="1"/>
  <c r="X43" i="6"/>
  <c r="Z43" i="6" s="1"/>
  <c r="AC43" i="6" s="1"/>
  <c r="X67" i="6"/>
  <c r="Z67" i="6" s="1"/>
  <c r="AC67" i="6" s="1"/>
  <c r="X80" i="6"/>
  <c r="Z80" i="6" s="1"/>
  <c r="AC80" i="6" s="1"/>
  <c r="X53" i="6"/>
  <c r="Z53" i="6" s="1"/>
  <c r="AC53" i="6" s="1"/>
  <c r="X77" i="6"/>
  <c r="Z77" i="6" s="1"/>
  <c r="AC77" i="6" s="1"/>
  <c r="X76" i="6"/>
  <c r="Z76" i="6" s="1"/>
  <c r="AC76" i="6" s="1"/>
  <c r="X39" i="6"/>
  <c r="Z39" i="6" s="1"/>
  <c r="AC39" i="6" s="1"/>
  <c r="X63" i="6"/>
  <c r="Z63" i="6" s="1"/>
  <c r="AC63" i="6" s="1"/>
  <c r="Z37" i="6"/>
  <c r="AC37" i="6" s="1"/>
  <c r="AF37" i="6" s="1"/>
  <c r="X45" i="6"/>
  <c r="Z45" i="6" s="1"/>
  <c r="AC45" i="6" s="1"/>
  <c r="AR17" i="4"/>
  <c r="AX21" i="4"/>
  <c r="AZ21" i="4" s="1"/>
  <c r="AX24" i="4"/>
  <c r="AZ24" i="4" s="1"/>
  <c r="AX15" i="4"/>
  <c r="AZ15" i="4" s="1"/>
  <c r="AV20" i="4" l="1"/>
  <c r="AV15" i="4"/>
  <c r="AV21" i="4"/>
  <c r="AV25" i="4"/>
  <c r="AV9" i="4"/>
  <c r="AV18" i="4"/>
  <c r="AV14" i="4"/>
  <c r="AS10" i="4"/>
  <c r="AT10" i="4"/>
  <c r="AU10" i="4"/>
  <c r="AT19" i="4"/>
  <c r="AS19" i="4"/>
  <c r="AU19" i="4"/>
  <c r="AU8" i="4"/>
  <c r="AT8" i="4"/>
  <c r="AS8" i="4"/>
  <c r="AV13" i="4"/>
  <c r="AS17" i="4"/>
  <c r="AU17" i="4"/>
  <c r="AT17" i="4"/>
  <c r="AU12" i="4"/>
  <c r="AT12" i="4"/>
  <c r="AS12" i="4"/>
  <c r="AU22" i="4"/>
  <c r="AT22" i="4"/>
  <c r="AS22" i="4"/>
  <c r="AV16" i="4"/>
  <c r="AV11" i="4"/>
  <c r="AV24" i="4"/>
  <c r="AV23" i="4"/>
  <c r="BC16" i="4"/>
  <c r="Y16" i="4" s="1"/>
  <c r="BB18" i="4"/>
  <c r="X18" i="4" s="1"/>
  <c r="BC21" i="4"/>
  <c r="Y21" i="4" s="1"/>
  <c r="BC11" i="4"/>
  <c r="Y11" i="4" s="1"/>
  <c r="BC15" i="4"/>
  <c r="Y15" i="4" s="1"/>
  <c r="BC9" i="4"/>
  <c r="Y9" i="4" s="1"/>
  <c r="BB13" i="4"/>
  <c r="X13" i="4" s="1"/>
  <c r="BC23" i="4"/>
  <c r="Y23" i="4" s="1"/>
  <c r="BB24" i="4"/>
  <c r="X24" i="4" s="1"/>
  <c r="BC13" i="4"/>
  <c r="Y13" i="4" s="1"/>
  <c r="BC14" i="4"/>
  <c r="Y14" i="4" s="1"/>
  <c r="BB16" i="4"/>
  <c r="X16" i="4" s="1"/>
  <c r="AD63" i="6"/>
  <c r="AE64" i="6" s="1"/>
  <c r="AK64" i="6" s="1"/>
  <c r="AF63" i="6"/>
  <c r="AG63" i="6"/>
  <c r="AD68" i="6"/>
  <c r="AD46" i="6"/>
  <c r="AD48" i="6"/>
  <c r="BA14" i="4"/>
  <c r="W14" i="4" s="1"/>
  <c r="BB23" i="4"/>
  <c r="X23" i="4" s="1"/>
  <c r="BA16" i="4"/>
  <c r="W16" i="4" s="1"/>
  <c r="AD40" i="6"/>
  <c r="BA20" i="4"/>
  <c r="W20" i="4" s="1"/>
  <c r="AD37" i="6"/>
  <c r="AE38" i="6" s="1"/>
  <c r="AG37" i="6"/>
  <c r="AD69" i="6"/>
  <c r="AD47" i="6"/>
  <c r="AD74" i="6"/>
  <c r="BB25" i="4"/>
  <c r="X25" i="4" s="1"/>
  <c r="BB14" i="4"/>
  <c r="X14" i="4" s="1"/>
  <c r="BA21" i="4"/>
  <c r="W21" i="4" s="1"/>
  <c r="AD72" i="6"/>
  <c r="AD39" i="6"/>
  <c r="AD76" i="6"/>
  <c r="AD78" i="6"/>
  <c r="AD73" i="6"/>
  <c r="AD71" i="6"/>
  <c r="BC20" i="4"/>
  <c r="Y20" i="4" s="1"/>
  <c r="BC25" i="4"/>
  <c r="Y25" i="4" s="1"/>
  <c r="BB21" i="4"/>
  <c r="X21" i="4" s="1"/>
  <c r="AD49" i="6"/>
  <c r="AD50" i="6"/>
  <c r="AD75" i="6"/>
  <c r="BB20" i="4"/>
  <c r="X20" i="4" s="1"/>
  <c r="BA25" i="4"/>
  <c r="W25" i="4" s="1"/>
  <c r="AD70" i="6"/>
  <c r="BA11" i="4"/>
  <c r="W11" i="4" s="1"/>
  <c r="AD53" i="6"/>
  <c r="AD65" i="6"/>
  <c r="AD51" i="6"/>
  <c r="AD54" i="6"/>
  <c r="BC24" i="4"/>
  <c r="Y24" i="4" s="1"/>
  <c r="BB9" i="4"/>
  <c r="X9" i="4" s="1"/>
  <c r="AD43" i="6"/>
  <c r="AD77" i="6"/>
  <c r="AD80" i="6"/>
  <c r="AD41" i="6"/>
  <c r="AD52" i="6"/>
  <c r="AD79" i="6"/>
  <c r="BA18" i="4"/>
  <c r="W18" i="4" s="1"/>
  <c r="BA24" i="4"/>
  <c r="W24" i="4" s="1"/>
  <c r="BA9" i="4"/>
  <c r="W9" i="4" s="1"/>
  <c r="AD45" i="6"/>
  <c r="BB11" i="4"/>
  <c r="X11" i="4" s="1"/>
  <c r="AD67" i="6"/>
  <c r="AD44" i="6"/>
  <c r="AD66" i="6"/>
  <c r="BC18" i="4"/>
  <c r="Y18" i="4" s="1"/>
  <c r="BA15" i="4"/>
  <c r="W15" i="4" s="1"/>
  <c r="BA23" i="4"/>
  <c r="W23" i="4" s="1"/>
  <c r="BB15" i="4"/>
  <c r="X15" i="4" s="1"/>
  <c r="BA13" i="4"/>
  <c r="W13" i="4" s="1"/>
  <c r="AV8" i="4" l="1"/>
  <c r="BB10" i="4"/>
  <c r="X10" i="4" s="1"/>
  <c r="AV22" i="4"/>
  <c r="BC10" i="4"/>
  <c r="Y10" i="4" s="1"/>
  <c r="AV12" i="4"/>
  <c r="BA10" i="4"/>
  <c r="W10" i="4" s="1"/>
  <c r="AV19" i="4"/>
  <c r="AV17" i="4"/>
  <c r="AV10" i="4"/>
  <c r="BA22" i="4"/>
  <c r="W22" i="4" s="1"/>
  <c r="BB22" i="4"/>
  <c r="X22" i="4" s="1"/>
  <c r="AK38" i="6"/>
  <c r="BC19" i="4"/>
  <c r="Y19" i="4" s="1"/>
  <c r="BC22" i="4"/>
  <c r="Y22" i="4" s="1"/>
  <c r="BD13" i="4"/>
  <c r="BE13" i="4" s="1"/>
  <c r="BF13" i="4" s="1"/>
  <c r="BD24" i="4"/>
  <c r="BE24" i="4" s="1"/>
  <c r="BF24" i="4" s="1"/>
  <c r="BD15" i="4"/>
  <c r="BE15" i="4" s="1"/>
  <c r="BF15" i="4" s="1"/>
  <c r="BD16" i="4"/>
  <c r="BE16" i="4" s="1"/>
  <c r="BF16" i="4" s="1"/>
  <c r="BC8" i="4"/>
  <c r="BB17" i="4"/>
  <c r="X17" i="4" s="1"/>
  <c r="Z16" i="4"/>
  <c r="AA16" i="4" s="1"/>
  <c r="BB8" i="4"/>
  <c r="BD25" i="4"/>
  <c r="BE25" i="4" s="1"/>
  <c r="BF25" i="4" s="1"/>
  <c r="BA8" i="4"/>
  <c r="BA19" i="4"/>
  <c r="W19" i="4" s="1"/>
  <c r="BA17" i="4"/>
  <c r="W17" i="4" s="1"/>
  <c r="BD21" i="4"/>
  <c r="BE21" i="4" s="1"/>
  <c r="BF21" i="4" s="1"/>
  <c r="Z21" i="4"/>
  <c r="AA21" i="4" s="1"/>
  <c r="BA12" i="4"/>
  <c r="W12" i="4" s="1"/>
  <c r="BB19" i="4"/>
  <c r="X19" i="4" s="1"/>
  <c r="BC17" i="4"/>
  <c r="Y17" i="4" s="1"/>
  <c r="BD20" i="4"/>
  <c r="BE20" i="4" s="1"/>
  <c r="BF20" i="4" s="1"/>
  <c r="Z20" i="4"/>
  <c r="AA20" i="4" s="1"/>
  <c r="BD9" i="4"/>
  <c r="BE9" i="4" s="1"/>
  <c r="BF9" i="4" s="1"/>
  <c r="Z9" i="4"/>
  <c r="AA9" i="4" s="1"/>
  <c r="Z13" i="4"/>
  <c r="AA13" i="4" s="1"/>
  <c r="Z25" i="4"/>
  <c r="AA25" i="4" s="1"/>
  <c r="BD14" i="4"/>
  <c r="BE14" i="4" s="1"/>
  <c r="BF14" i="4" s="1"/>
  <c r="Z14" i="4"/>
  <c r="AA14" i="4" s="1"/>
  <c r="Z15" i="4"/>
  <c r="AA15" i="4" s="1"/>
  <c r="BD23" i="4"/>
  <c r="BE23" i="4" s="1"/>
  <c r="BF23" i="4" s="1"/>
  <c r="Z23" i="4"/>
  <c r="AA23" i="4" s="1"/>
  <c r="BD18" i="4"/>
  <c r="BE18" i="4" s="1"/>
  <c r="BF18" i="4" s="1"/>
  <c r="Z18" i="4"/>
  <c r="AA18" i="4" s="1"/>
  <c r="BD11" i="4"/>
  <c r="BE11" i="4" s="1"/>
  <c r="BF11" i="4" s="1"/>
  <c r="Z11" i="4"/>
  <c r="AA11" i="4" s="1"/>
  <c r="Z24" i="4"/>
  <c r="AA24" i="4" s="1"/>
  <c r="BC12" i="4"/>
  <c r="Y12" i="4" s="1"/>
  <c r="AE65" i="6"/>
  <c r="AK65" i="6" s="1"/>
  <c r="AF64" i="6"/>
  <c r="AG64" i="6"/>
  <c r="AE39" i="6"/>
  <c r="AG38" i="6"/>
  <c r="AF38" i="6"/>
  <c r="BB12" i="4"/>
  <c r="X12" i="4" s="1"/>
  <c r="W8" i="4" l="1"/>
  <c r="BD8" i="4"/>
  <c r="BE8" i="4" s="1"/>
  <c r="BD10" i="4"/>
  <c r="BE10" i="4" s="1"/>
  <c r="BF10" i="4" s="1"/>
  <c r="Z10" i="4"/>
  <c r="AA10" i="4" s="1"/>
  <c r="Z22" i="4"/>
  <c r="AA22" i="4" s="1"/>
  <c r="Y8" i="4"/>
  <c r="AE8" i="4" s="1"/>
  <c r="X8" i="4"/>
  <c r="BD22" i="4"/>
  <c r="BE22" i="4" s="1"/>
  <c r="BF22" i="4" s="1"/>
  <c r="AK39" i="6"/>
  <c r="BF8" i="4"/>
  <c r="BD17" i="4"/>
  <c r="BE17" i="4" s="1"/>
  <c r="BF17" i="4" s="1"/>
  <c r="Z17" i="4"/>
  <c r="AA17" i="4" s="1"/>
  <c r="AE66" i="6"/>
  <c r="AK66" i="6" s="1"/>
  <c r="AG65" i="6"/>
  <c r="AF65" i="6"/>
  <c r="BD12" i="4"/>
  <c r="BE12" i="4" s="1"/>
  <c r="BF12" i="4" s="1"/>
  <c r="Z12" i="4"/>
  <c r="AA12" i="4" s="1"/>
  <c r="BD19" i="4"/>
  <c r="BE19" i="4" s="1"/>
  <c r="BF19" i="4" s="1"/>
  <c r="Z19" i="4"/>
  <c r="AA19" i="4" s="1"/>
  <c r="AE40" i="6"/>
  <c r="AF39" i="6"/>
  <c r="AG39" i="6"/>
  <c r="Z8" i="4" l="1"/>
  <c r="AA8" i="4" s="1"/>
  <c r="AB9" i="4" s="1"/>
  <c r="AD8" i="4"/>
  <c r="AK40" i="6"/>
  <c r="AC8" i="4"/>
  <c r="AE41" i="6"/>
  <c r="AF40" i="6"/>
  <c r="AG40" i="6"/>
  <c r="AE67" i="6"/>
  <c r="AK67" i="6" s="1"/>
  <c r="AG66" i="6"/>
  <c r="AF66" i="6"/>
  <c r="AK41" i="6" l="1"/>
  <c r="AB10" i="4"/>
  <c r="AE9" i="4"/>
  <c r="AC9" i="4"/>
  <c r="AL9" i="4"/>
  <c r="AN9" i="4" s="1"/>
  <c r="AD9" i="4"/>
  <c r="AF9" i="4"/>
  <c r="AE68" i="6"/>
  <c r="AK68" i="6" s="1"/>
  <c r="AG67" i="6"/>
  <c r="AF67" i="6"/>
  <c r="AE42" i="6"/>
  <c r="AG41" i="6"/>
  <c r="AF41" i="6"/>
  <c r="AK42" i="6" l="1"/>
  <c r="AB11" i="4"/>
  <c r="AD10" i="4"/>
  <c r="AL10" i="4"/>
  <c r="AN10" i="4" s="1"/>
  <c r="AE10" i="4"/>
  <c r="AF10" i="4"/>
  <c r="AC10" i="4"/>
  <c r="AE69" i="6"/>
  <c r="AK69" i="6" s="1"/>
  <c r="AF68" i="6"/>
  <c r="AG68" i="6"/>
  <c r="AE43" i="6"/>
  <c r="AF42" i="6"/>
  <c r="AG42" i="6"/>
  <c r="AK43" i="6" l="1"/>
  <c r="AC11" i="4"/>
  <c r="AE11" i="4"/>
  <c r="AF11" i="4"/>
  <c r="AF6" i="4" s="1"/>
  <c r="AL11" i="4"/>
  <c r="AN11" i="4" s="1"/>
  <c r="AD11" i="4"/>
  <c r="AB12" i="4"/>
  <c r="AE70" i="6"/>
  <c r="AK70" i="6" s="1"/>
  <c r="AK61" i="6" s="1"/>
  <c r="AF69" i="6"/>
  <c r="AG69" i="6"/>
  <c r="AE44" i="6"/>
  <c r="AG43" i="6"/>
  <c r="AF43" i="6"/>
  <c r="AK44" i="6" l="1"/>
  <c r="AK35" i="6" s="1"/>
  <c r="Z33" i="6" s="1"/>
  <c r="AD12" i="4"/>
  <c r="AB13" i="4"/>
  <c r="AL12" i="4"/>
  <c r="AN12" i="4" s="1"/>
  <c r="AC12" i="4"/>
  <c r="AE12" i="4"/>
  <c r="AE45" i="6"/>
  <c r="AF44" i="6"/>
  <c r="AG44" i="6"/>
  <c r="AE71" i="6"/>
  <c r="AF70" i="6"/>
  <c r="AG70" i="6"/>
  <c r="AD13" i="4" l="1"/>
  <c r="AB14" i="4"/>
  <c r="AE13" i="4"/>
  <c r="AC13" i="4"/>
  <c r="AL13" i="4"/>
  <c r="AN13" i="4" s="1"/>
  <c r="AE72" i="6"/>
  <c r="AG71" i="6"/>
  <c r="AF71" i="6"/>
  <c r="AE46" i="6"/>
  <c r="AF45" i="6"/>
  <c r="AG45" i="6"/>
  <c r="AL14" i="4" l="1"/>
  <c r="AN14" i="4" s="1"/>
  <c r="AC14" i="4"/>
  <c r="AD14" i="4"/>
  <c r="AE14" i="4"/>
  <c r="AB15" i="4"/>
  <c r="AE47" i="6"/>
  <c r="AF46" i="6"/>
  <c r="AG46" i="6"/>
  <c r="AE73" i="6"/>
  <c r="AF72" i="6"/>
  <c r="AG72" i="6"/>
  <c r="AC15" i="4" l="1"/>
  <c r="AL15" i="4"/>
  <c r="AN15" i="4" s="1"/>
  <c r="AK6" i="4" s="1"/>
  <c r="M26" i="4" s="1"/>
  <c r="AB16" i="4"/>
  <c r="AD15" i="4"/>
  <c r="AE15" i="4"/>
  <c r="AE74" i="6"/>
  <c r="AF73" i="6"/>
  <c r="AG73" i="6"/>
  <c r="AE48" i="6"/>
  <c r="AF47" i="6"/>
  <c r="AG47" i="6"/>
  <c r="AE16" i="4" l="1"/>
  <c r="AD16" i="4"/>
  <c r="AC16" i="4"/>
  <c r="AB17" i="4"/>
  <c r="AE49" i="6"/>
  <c r="AG48" i="6"/>
  <c r="AF48" i="6"/>
  <c r="AE75" i="6"/>
  <c r="AF74" i="6"/>
  <c r="AG74" i="6"/>
  <c r="AD17" i="4" l="1"/>
  <c r="AB18" i="4"/>
  <c r="AC17" i="4"/>
  <c r="AE17" i="4"/>
  <c r="AE76" i="6"/>
  <c r="AG75" i="6"/>
  <c r="AF75" i="6"/>
  <c r="AE50" i="6"/>
  <c r="AF49" i="6"/>
  <c r="AG49" i="6"/>
  <c r="AE18" i="4" l="1"/>
  <c r="AD18" i="4"/>
  <c r="AC18" i="4"/>
  <c r="AB19" i="4"/>
  <c r="AE51" i="6"/>
  <c r="AF50" i="6"/>
  <c r="AG50" i="6"/>
  <c r="AE77" i="6"/>
  <c r="AG76" i="6"/>
  <c r="AF76" i="6"/>
  <c r="AE19" i="4" l="1"/>
  <c r="AC19" i="4"/>
  <c r="AB20" i="4"/>
  <c r="AD19" i="4"/>
  <c r="AE78" i="6"/>
  <c r="AG77" i="6"/>
  <c r="AF77" i="6"/>
  <c r="AE52" i="6"/>
  <c r="AG51" i="6"/>
  <c r="AF51" i="6"/>
  <c r="AB21" i="4" l="1"/>
  <c r="AE20" i="4"/>
  <c r="AD20" i="4"/>
  <c r="AC20" i="4"/>
  <c r="AE79" i="6"/>
  <c r="AF78" i="6"/>
  <c r="AG78" i="6"/>
  <c r="AE53" i="6"/>
  <c r="AG52" i="6"/>
  <c r="AF52" i="6"/>
  <c r="AD21" i="4" l="1"/>
  <c r="AB22" i="4"/>
  <c r="AE21" i="4"/>
  <c r="AC21" i="4"/>
  <c r="AE80" i="6"/>
  <c r="AF79" i="6"/>
  <c r="AG79" i="6"/>
  <c r="AE54" i="6"/>
  <c r="AF54" i="6" s="1"/>
  <c r="AF53" i="6"/>
  <c r="AG53" i="6"/>
  <c r="AE22" i="4" l="1"/>
  <c r="AD22" i="4"/>
  <c r="AC22" i="4"/>
  <c r="AB23" i="4"/>
  <c r="AF35" i="6"/>
  <c r="AG54" i="6"/>
  <c r="AG35" i="6" s="1"/>
  <c r="AF80" i="6"/>
  <c r="AF61" i="6" s="1"/>
  <c r="AG80" i="6"/>
  <c r="AG61" i="6" s="1"/>
  <c r="Z32" i="6" l="1"/>
  <c r="AC23" i="4"/>
  <c r="AE23" i="4"/>
  <c r="AB24" i="4"/>
  <c r="AD23" i="4"/>
  <c r="Z58" i="6"/>
  <c r="Z59" i="6"/>
  <c r="Y35" i="6" l="1"/>
  <c r="AB25" i="4"/>
  <c r="AC24" i="4"/>
  <c r="AE24" i="4"/>
  <c r="AD24" i="4"/>
  <c r="Y61" i="6"/>
  <c r="T7" i="6" l="1"/>
  <c r="AD25" i="4"/>
  <c r="AD6" i="4" s="1"/>
  <c r="AC25" i="4"/>
  <c r="AC6" i="4" s="1"/>
  <c r="AE25" i="4"/>
  <c r="AE6" i="4" s="1"/>
  <c r="M24" i="4" l="1"/>
  <c r="T6" i="4"/>
  <c r="M30" i="4" l="1"/>
  <c r="L36" i="4" s="1"/>
  <c r="M25" i="4"/>
  <c r="M31" i="4" s="1"/>
  <c r="M43" i="4" l="1"/>
  <c r="M36" i="4"/>
  <c r="M39" i="4"/>
  <c r="M38" i="4"/>
  <c r="M40" i="4"/>
  <c r="M37" i="4"/>
  <c r="M42" i="4"/>
  <c r="M41" i="4"/>
  <c r="L43" i="4"/>
  <c r="L41" i="4"/>
  <c r="P15" i="2"/>
  <c r="AW11" i="2" s="1"/>
  <c r="L42" i="4"/>
  <c r="L38" i="4"/>
  <c r="L37" i="4"/>
  <c r="L39" i="4"/>
  <c r="L40" i="4"/>
  <c r="AW12" i="2" l="1"/>
  <c r="AW13" i="2"/>
  <c r="AW15" i="2"/>
  <c r="AW18" i="2"/>
  <c r="AW17" i="2"/>
  <c r="AW16" i="2"/>
  <c r="AW14" i="2"/>
  <c r="M54" i="4"/>
  <c r="L54" i="4"/>
  <c r="AB5" i="2" l="1"/>
  <c r="X3" i="2" s="1"/>
  <c r="X5" i="2" s="1"/>
  <c r="AW5" i="2"/>
</calcChain>
</file>

<file path=xl/sharedStrings.xml><?xml version="1.0" encoding="utf-8"?>
<sst xmlns="http://schemas.openxmlformats.org/spreadsheetml/2006/main" count="542" uniqueCount="193">
  <si>
    <t>CUSF ANEXO 5.3.3-a.</t>
  </si>
  <si>
    <t>Experiencia Demográfica de Mercado</t>
  </si>
  <si>
    <t>Edad x</t>
  </si>
  <si>
    <t>CNSF M 2013</t>
  </si>
  <si>
    <t>Producto</t>
  </si>
  <si>
    <t xml:space="preserve">temporal 18 años para una persona de </t>
  </si>
  <si>
    <t xml:space="preserve">edad de entre 30 y 45 con suma asegurada </t>
  </si>
  <si>
    <t>decrecientes temporal 10 años.</t>
  </si>
  <si>
    <t>Condiciones del seguro</t>
  </si>
  <si>
    <t>Edad</t>
  </si>
  <si>
    <t>x</t>
  </si>
  <si>
    <t>Temporalidad</t>
  </si>
  <si>
    <t>n</t>
  </si>
  <si>
    <t>Suma Asegurada</t>
  </si>
  <si>
    <t>SA</t>
  </si>
  <si>
    <t>Prima Neta Unica</t>
  </si>
  <si>
    <t>PNU</t>
  </si>
  <si>
    <t>Anualidad</t>
  </si>
  <si>
    <t>Pago</t>
  </si>
  <si>
    <t>P</t>
  </si>
  <si>
    <t>t</t>
  </si>
  <si>
    <r>
      <t>V</t>
    </r>
    <r>
      <rPr>
        <vertAlign val="superscript"/>
        <sz val="12"/>
        <color theme="1"/>
        <rFont val="Century Gothic"/>
        <family val="2"/>
      </rPr>
      <t>t+1</t>
    </r>
  </si>
  <si>
    <r>
      <t>q</t>
    </r>
    <r>
      <rPr>
        <vertAlign val="subscript"/>
        <sz val="12"/>
        <color theme="1"/>
        <rFont val="Century Gothic"/>
        <family val="2"/>
      </rPr>
      <t>x+t</t>
    </r>
  </si>
  <si>
    <r>
      <t>p</t>
    </r>
    <r>
      <rPr>
        <vertAlign val="subscript"/>
        <sz val="12"/>
        <color theme="1"/>
        <rFont val="Century Gothic"/>
        <family val="2"/>
      </rPr>
      <t>x+t</t>
    </r>
  </si>
  <si>
    <r>
      <rPr>
        <vertAlign val="subscript"/>
        <sz val="12"/>
        <color theme="1"/>
        <rFont val="Century Gothic"/>
        <family val="2"/>
      </rPr>
      <t>t</t>
    </r>
    <r>
      <rPr>
        <sz val="12"/>
        <color theme="1"/>
        <rFont val="Century Gothic"/>
        <family val="2"/>
      </rPr>
      <t>p</t>
    </r>
    <r>
      <rPr>
        <vertAlign val="subscript"/>
        <sz val="12"/>
        <color theme="1"/>
        <rFont val="Century Gothic"/>
        <family val="2"/>
      </rPr>
      <t>x</t>
    </r>
  </si>
  <si>
    <t>x+t</t>
  </si>
  <si>
    <t>Sumando</t>
  </si>
  <si>
    <t>Factor de SA</t>
  </si>
  <si>
    <t>SUMA</t>
  </si>
  <si>
    <t>Calculo del seguro</t>
  </si>
  <si>
    <t>Calculo de la anualidad</t>
  </si>
  <si>
    <r>
      <t>V</t>
    </r>
    <r>
      <rPr>
        <vertAlign val="superscript"/>
        <sz val="12"/>
        <color theme="1"/>
        <rFont val="Century Gothic"/>
        <family val="2"/>
      </rPr>
      <t>t</t>
    </r>
  </si>
  <si>
    <t>Esquema de pagos</t>
  </si>
  <si>
    <t>Pagos</t>
  </si>
  <si>
    <r>
      <t>Dä</t>
    </r>
    <r>
      <rPr>
        <vertAlign val="subscript"/>
        <sz val="14"/>
        <color theme="1"/>
        <rFont val="Century Gothic"/>
        <family val="2"/>
      </rPr>
      <t>30:8</t>
    </r>
  </si>
  <si>
    <t>base de $150,000 con primas anticipadas</t>
  </si>
  <si>
    <t xml:space="preserve">Un seguro temporal de suma asegurada creciente </t>
  </si>
  <si>
    <t>GASTOS DE ADMINISTRACIÓN</t>
  </si>
  <si>
    <t>AGENTE</t>
  </si>
  <si>
    <t>AÑO</t>
  </si>
  <si>
    <t>RENTA EDIFICIO</t>
  </si>
  <si>
    <t>UTILIDAD</t>
  </si>
  <si>
    <t>RENTA</t>
  </si>
  <si>
    <t>ACTUARIO</t>
  </si>
  <si>
    <t>PT</t>
  </si>
  <si>
    <t>Prima de Tarifa</t>
  </si>
  <si>
    <t>Obligaciones de la Compañía</t>
  </si>
  <si>
    <t>Esquema de pagos prima de tarifa</t>
  </si>
  <si>
    <t>Vector de Tasas</t>
  </si>
  <si>
    <t>Parámetros</t>
  </si>
  <si>
    <t>Egresos</t>
  </si>
  <si>
    <t>Factor de decrecimiento</t>
  </si>
  <si>
    <t>Ingresos</t>
  </si>
  <si>
    <t>Costos y gastos</t>
  </si>
  <si>
    <t>SUMA ASEGURADA CONSTANTE AL TIEMPO t</t>
  </si>
  <si>
    <t xml:space="preserve">Datos para el cálculo del </t>
  </si>
  <si>
    <r>
      <t>VPE</t>
    </r>
    <r>
      <rPr>
        <vertAlign val="subscript"/>
        <sz val="11"/>
        <color theme="1"/>
        <rFont val="Calibri"/>
        <family val="2"/>
        <scheme val="minor"/>
      </rPr>
      <t>t</t>
    </r>
  </si>
  <si>
    <r>
      <t>VPI</t>
    </r>
    <r>
      <rPr>
        <vertAlign val="subscript"/>
        <sz val="11"/>
        <color theme="1"/>
        <rFont val="Calibri"/>
        <family val="2"/>
        <scheme val="minor"/>
      </rPr>
      <t>t</t>
    </r>
  </si>
  <si>
    <r>
      <t>BEL</t>
    </r>
    <r>
      <rPr>
        <vertAlign val="subscript"/>
        <sz val="11"/>
        <color theme="0"/>
        <rFont val="Calibri"/>
        <family val="2"/>
        <scheme val="minor"/>
      </rPr>
      <t>t</t>
    </r>
  </si>
  <si>
    <t>Seguros temporales</t>
  </si>
  <si>
    <t>Año de vigencia</t>
  </si>
  <si>
    <t>Nacional</t>
  </si>
  <si>
    <t>CNSF Inv</t>
  </si>
  <si>
    <t>CNSF Otros 2013</t>
  </si>
  <si>
    <t>Desempleo</t>
  </si>
  <si>
    <t>Invalidez</t>
  </si>
  <si>
    <t>Caducidad</t>
  </si>
  <si>
    <t>Muerte</t>
  </si>
  <si>
    <t>19 y más</t>
  </si>
  <si>
    <t>Comprobación</t>
  </si>
  <si>
    <t>Sumando Seguro Creciente (1)</t>
  </si>
  <si>
    <t>Sumando Seguro Constante (1)</t>
  </si>
  <si>
    <t>Sumando Seguro Creciente (2)</t>
  </si>
  <si>
    <t>Sumando Seguro Constante (2)</t>
  </si>
  <si>
    <t>Sumando Seguro Creciente (3)</t>
  </si>
  <si>
    <t>Sumando Seguro Constante (3)</t>
  </si>
  <si>
    <t>Causa 1</t>
  </si>
  <si>
    <t>Causa 2</t>
  </si>
  <si>
    <t>Causa 3</t>
  </si>
  <si>
    <t>Causa 4</t>
  </si>
  <si>
    <t>SUMA SEGURO CRECIENTE (1)</t>
  </si>
  <si>
    <t>SUMA SEGURO CONSTANTE (2)</t>
  </si>
  <si>
    <t>SUMA SEGURO CONSTANTE (1)</t>
  </si>
  <si>
    <t>SUMA SEGURO CRECIENTE (2)</t>
  </si>
  <si>
    <t>SUMA SEGURO CRECIENTE (3)</t>
  </si>
  <si>
    <t>SUMA SEGURO CONSTANTE (3)</t>
  </si>
  <si>
    <t>Elementos del Cálculo</t>
  </si>
  <si>
    <t>Temporalidad Anualidad</t>
  </si>
  <si>
    <t>seguro creciente y constante</t>
  </si>
  <si>
    <t>SUMA ASEGURADA BASE PARA CRECIENTE AL TIEMPO t</t>
  </si>
  <si>
    <t>Utilidad</t>
  </si>
  <si>
    <t>Suma Asegurada Base</t>
  </si>
  <si>
    <t>Tasa de interes</t>
  </si>
  <si>
    <t>i</t>
  </si>
  <si>
    <t>Condiciones de la anualidad</t>
  </si>
  <si>
    <t>Cáclulo del seguro y la anualidad</t>
  </si>
  <si>
    <t>Seguro</t>
  </si>
  <si>
    <t>Seguro + Costos + Gastos</t>
  </si>
  <si>
    <t>Valor de los seguros</t>
  </si>
  <si>
    <t>SUMAS</t>
  </si>
  <si>
    <t>Prima a Pagar por parte del asegurado</t>
  </si>
  <si>
    <t xml:space="preserve">Prima </t>
  </si>
  <si>
    <t>--</t>
  </si>
  <si>
    <t>Prima de Riesgo</t>
  </si>
  <si>
    <r>
      <t>IA</t>
    </r>
    <r>
      <rPr>
        <vertAlign val="superscript"/>
        <sz val="11"/>
        <color theme="1"/>
        <rFont val="Century Gothic"/>
        <family val="2"/>
      </rPr>
      <t>(1,2,3)</t>
    </r>
    <r>
      <rPr>
        <vertAlign val="subscript"/>
        <sz val="11"/>
        <color theme="1"/>
        <rFont val="Century Gothic"/>
        <family val="2"/>
      </rPr>
      <t>x:18|</t>
    </r>
  </si>
  <si>
    <t>Año</t>
  </si>
  <si>
    <t xml:space="preserve">Suma asegurada </t>
  </si>
  <si>
    <t xml:space="preserve">Tabla de pagos </t>
  </si>
  <si>
    <t>Pago asegurado (Riesgo)</t>
  </si>
  <si>
    <t>Pago asegurado (Tarifa)</t>
  </si>
  <si>
    <t>Total</t>
  </si>
  <si>
    <t>Percentiles al 99.5%</t>
  </si>
  <si>
    <t>Sumandos</t>
  </si>
  <si>
    <t>Tiempo de la reserva</t>
  </si>
  <si>
    <t>Sumandos Seguro Creciente</t>
  </si>
  <si>
    <t>Sumandos Seguro Constante</t>
  </si>
  <si>
    <r>
      <t>VPE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vertAlign val="superscript"/>
        <sz val="11"/>
        <color theme="1"/>
        <rFont val="Calibri"/>
        <family val="2"/>
        <scheme val="minor"/>
      </rPr>
      <t>(50%)</t>
    </r>
  </si>
  <si>
    <r>
      <t>VPI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vertAlign val="superscript"/>
        <sz val="11"/>
        <color theme="1"/>
        <rFont val="Calibri"/>
        <family val="2"/>
        <scheme val="minor"/>
      </rPr>
      <t>(50%)</t>
    </r>
  </si>
  <si>
    <t>RCS</t>
  </si>
  <si>
    <t>Duración</t>
  </si>
  <si>
    <t>TABLA DE MARGEN DE RIESGO</t>
  </si>
  <si>
    <t>Tasa</t>
  </si>
  <si>
    <t>Factor SA</t>
  </si>
  <si>
    <t>Prima Nivelada</t>
  </si>
  <si>
    <t>Sumando Seguro (4)</t>
  </si>
  <si>
    <t>SUMA SEGURO (4)</t>
  </si>
  <si>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>V</t>
    </r>
  </si>
  <si>
    <r>
      <t>BEL</t>
    </r>
    <r>
      <rPr>
        <vertAlign val="subscript"/>
        <sz val="11"/>
        <color rgb="FF9C5700"/>
        <rFont val="Calibri"/>
        <family val="2"/>
        <scheme val="minor"/>
      </rPr>
      <t>t</t>
    </r>
    <r>
      <rPr>
        <sz val="11"/>
        <color rgb="FF9C5700"/>
        <rFont val="Calibri"/>
        <family val="2"/>
        <scheme val="minor"/>
      </rPr>
      <t xml:space="preserve"> </t>
    </r>
    <r>
      <rPr>
        <vertAlign val="superscript"/>
        <sz val="11"/>
        <color rgb="FF9C5700"/>
        <rFont val="Calibri"/>
        <family val="2"/>
        <scheme val="minor"/>
      </rPr>
      <t>(99.5%)</t>
    </r>
  </si>
  <si>
    <r>
      <t>BEL</t>
    </r>
    <r>
      <rPr>
        <vertAlign val="subscript"/>
        <sz val="11"/>
        <color rgb="FF9C5700"/>
        <rFont val="Calibri"/>
        <family val="2"/>
        <scheme val="minor"/>
      </rPr>
      <t>t</t>
    </r>
    <r>
      <rPr>
        <sz val="11"/>
        <color rgb="FF9C5700"/>
        <rFont val="Calibri"/>
        <family val="2"/>
        <scheme val="minor"/>
      </rPr>
      <t xml:space="preserve"> </t>
    </r>
    <r>
      <rPr>
        <vertAlign val="superscript"/>
        <sz val="11"/>
        <color rgb="FF9C5700"/>
        <rFont val="Calibri"/>
        <family val="2"/>
        <scheme val="minor"/>
      </rPr>
      <t>(50%)</t>
    </r>
  </si>
  <si>
    <r>
      <t>IA</t>
    </r>
    <r>
      <rPr>
        <vertAlign val="subscript"/>
        <sz val="11"/>
        <color rgb="FF3F3F76"/>
        <rFont val="Calibri"/>
        <family val="2"/>
        <scheme val="minor"/>
      </rPr>
      <t>x:18|</t>
    </r>
    <r>
      <rPr>
        <vertAlign val="superscript"/>
        <sz val="11"/>
        <color rgb="FF3F3F76"/>
        <rFont val="Calibri"/>
        <family val="2"/>
        <scheme val="minor"/>
      </rPr>
      <t>(50%)</t>
    </r>
  </si>
  <si>
    <r>
      <t>Dä</t>
    </r>
    <r>
      <rPr>
        <vertAlign val="subscript"/>
        <sz val="11"/>
        <color rgb="FF3F3F76"/>
        <rFont val="Calibri"/>
        <family val="2"/>
        <scheme val="minor"/>
      </rPr>
      <t>x:8|</t>
    </r>
    <r>
      <rPr>
        <vertAlign val="superscript"/>
        <sz val="11"/>
        <color rgb="FF3F3F76"/>
        <rFont val="Calibri"/>
        <family val="2"/>
        <scheme val="minor"/>
      </rPr>
      <t>(50%)</t>
    </r>
  </si>
  <si>
    <r>
      <t>VPE</t>
    </r>
    <r>
      <rPr>
        <vertAlign val="subscript"/>
        <sz val="11"/>
        <color rgb="FF3F3F76"/>
        <rFont val="Calibri"/>
        <family val="2"/>
        <scheme val="minor"/>
      </rPr>
      <t>t</t>
    </r>
    <r>
      <rPr>
        <sz val="11"/>
        <color rgb="FF3F3F76"/>
        <rFont val="Calibri"/>
        <family val="2"/>
        <scheme val="minor"/>
      </rPr>
      <t xml:space="preserve"> </t>
    </r>
    <r>
      <rPr>
        <vertAlign val="superscript"/>
        <sz val="11"/>
        <color rgb="FF3F3F76"/>
        <rFont val="Calibri"/>
        <family val="2"/>
        <scheme val="minor"/>
      </rPr>
      <t>(99.5%)</t>
    </r>
  </si>
  <si>
    <r>
      <t>VPI</t>
    </r>
    <r>
      <rPr>
        <vertAlign val="subscript"/>
        <sz val="11"/>
        <color rgb="FF3F3F76"/>
        <rFont val="Calibri"/>
        <family val="2"/>
        <scheme val="minor"/>
      </rPr>
      <t>t</t>
    </r>
    <r>
      <rPr>
        <sz val="11"/>
        <color rgb="FF3F3F76"/>
        <rFont val="Calibri"/>
        <family val="2"/>
        <scheme val="minor"/>
      </rPr>
      <t xml:space="preserve"> </t>
    </r>
    <r>
      <rPr>
        <vertAlign val="superscript"/>
        <sz val="11"/>
        <color rgb="FF3F3F76"/>
        <rFont val="Calibri"/>
        <family val="2"/>
        <scheme val="minor"/>
      </rPr>
      <t>(99.5%)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</si>
  <si>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(99.5%)</t>
    </r>
  </si>
  <si>
    <r>
      <t>p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(99.5%)</t>
    </r>
  </si>
  <si>
    <r>
      <rPr>
        <vertAlign val="subscript"/>
        <sz val="12"/>
        <color theme="1"/>
        <rFont val="Century Gothic"/>
        <family val="2"/>
      </rPr>
      <t>t</t>
    </r>
    <r>
      <rPr>
        <sz val="12"/>
        <color theme="1"/>
        <rFont val="Century Gothic"/>
        <family val="2"/>
      </rPr>
      <t>p</t>
    </r>
    <r>
      <rPr>
        <vertAlign val="subscript"/>
        <sz val="12"/>
        <color theme="1"/>
        <rFont val="Century Gothic"/>
        <family val="2"/>
      </rPr>
      <t>x</t>
    </r>
    <r>
      <rPr>
        <vertAlign val="superscript"/>
        <sz val="12"/>
        <color theme="1"/>
        <rFont val="Century Gothic"/>
        <family val="2"/>
      </rPr>
      <t>(99.5%)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</si>
  <si>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(50%)</t>
    </r>
  </si>
  <si>
    <r>
      <t>p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(50%)</t>
    </r>
  </si>
  <si>
    <r>
      <rPr>
        <vertAlign val="subscript"/>
        <sz val="12"/>
        <color theme="1"/>
        <rFont val="Century Gothic"/>
        <family val="2"/>
      </rPr>
      <t>t</t>
    </r>
    <r>
      <rPr>
        <sz val="12"/>
        <color theme="1"/>
        <rFont val="Century Gothic"/>
        <family val="2"/>
      </rPr>
      <t>p</t>
    </r>
    <r>
      <rPr>
        <vertAlign val="subscript"/>
        <sz val="12"/>
        <color theme="1"/>
        <rFont val="Century Gothic"/>
        <family val="2"/>
      </rPr>
      <t>x</t>
    </r>
    <r>
      <rPr>
        <vertAlign val="superscript"/>
        <sz val="12"/>
        <color theme="1"/>
        <rFont val="Century Gothic"/>
        <family val="2"/>
      </rPr>
      <t>(50%)</t>
    </r>
  </si>
  <si>
    <r>
      <t>Desviacion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(1) (32)</t>
    </r>
  </si>
  <si>
    <r>
      <t>(Desviaciones totales)</t>
    </r>
    <r>
      <rPr>
        <vertAlign val="subscript"/>
        <sz val="11"/>
        <color theme="1"/>
        <rFont val="Calibri"/>
        <family val="2"/>
        <scheme val="minor"/>
      </rPr>
      <t>t</t>
    </r>
  </si>
  <si>
    <r>
      <t>Desviacion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(2) (35)</t>
    </r>
  </si>
  <si>
    <r>
      <t>Desviacion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(3) (37)</t>
    </r>
  </si>
  <si>
    <r>
      <t>Desviacion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(4) (43)</t>
    </r>
  </si>
  <si>
    <r>
      <t>MR</t>
    </r>
    <r>
      <rPr>
        <vertAlign val="subscript"/>
        <sz val="11"/>
        <color theme="1"/>
        <rFont val="Calibri"/>
        <family val="2"/>
        <scheme val="minor"/>
      </rPr>
      <t>t</t>
    </r>
  </si>
  <si>
    <r>
      <t>BEL</t>
    </r>
    <r>
      <rPr>
        <vertAlign val="subscript"/>
        <sz val="11"/>
        <color rgb="FF3F3F76"/>
        <rFont val="Calibri"/>
        <family val="2"/>
        <scheme val="minor"/>
      </rPr>
      <t>t</t>
    </r>
    <r>
      <rPr>
        <sz val="11"/>
        <color rgb="FF3F3F76"/>
        <rFont val="Calibri"/>
        <family val="2"/>
        <scheme val="minor"/>
      </rPr>
      <t xml:space="preserve"> </t>
    </r>
    <r>
      <rPr>
        <vertAlign val="superscript"/>
        <sz val="11"/>
        <color rgb="FF3F3F76"/>
        <rFont val="Calibri"/>
        <family val="2"/>
        <scheme val="minor"/>
      </rPr>
      <t>(99.5%)</t>
    </r>
    <r>
      <rPr>
        <sz val="11"/>
        <color rgb="FF3F3F76"/>
        <rFont val="Calibri"/>
        <family val="2"/>
        <scheme val="minor"/>
      </rPr>
      <t xml:space="preserve"> - BEL</t>
    </r>
    <r>
      <rPr>
        <vertAlign val="subscript"/>
        <sz val="11"/>
        <color rgb="FF3F3F76"/>
        <rFont val="Calibri"/>
        <family val="2"/>
        <scheme val="minor"/>
      </rPr>
      <t>t</t>
    </r>
    <r>
      <rPr>
        <sz val="11"/>
        <color rgb="FF3F3F76"/>
        <rFont val="Calibri"/>
        <family val="2"/>
        <scheme val="minor"/>
      </rPr>
      <t xml:space="preserve"> </t>
    </r>
    <r>
      <rPr>
        <vertAlign val="superscript"/>
        <sz val="11"/>
        <color rgb="FF3F3F76"/>
        <rFont val="Calibri"/>
        <family val="2"/>
        <scheme val="minor"/>
      </rPr>
      <t>(50%)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</si>
  <si>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'(2)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</si>
  <si>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'(1)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</si>
  <si>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'(3)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</si>
  <si>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'(4)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</si>
  <si>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'(</t>
    </r>
    <r>
      <rPr>
        <vertAlign val="superscript"/>
        <sz val="11"/>
        <color theme="1"/>
        <rFont val="Symbol"/>
        <family val="1"/>
        <charset val="2"/>
      </rPr>
      <t>t</t>
    </r>
    <r>
      <rPr>
        <vertAlign val="superscript"/>
        <sz val="11"/>
        <color theme="1"/>
        <rFont val="Calibri"/>
        <family val="2"/>
        <scheme val="minor"/>
      </rPr>
      <t>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</si>
  <si>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(1)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</si>
  <si>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(2)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</si>
  <si>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(3)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</si>
  <si>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(4)</t>
    </r>
  </si>
  <si>
    <r>
      <t>q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</t>
    </r>
    <r>
      <rPr>
        <vertAlign val="superscript"/>
        <sz val="11"/>
        <color theme="1"/>
        <rFont val="Symbol"/>
        <family val="1"/>
        <charset val="2"/>
      </rPr>
      <t>t</t>
    </r>
    <r>
      <rPr>
        <vertAlign val="superscript"/>
        <sz val="11"/>
        <color theme="1"/>
        <rFont val="Calibri"/>
        <family val="2"/>
        <scheme val="minor"/>
      </rPr>
      <t>)</t>
    </r>
  </si>
  <si>
    <r>
      <t>p</t>
    </r>
    <r>
      <rPr>
        <vertAlign val="subscript"/>
        <sz val="11"/>
        <color theme="1"/>
        <rFont val="Calibri"/>
        <family val="2"/>
        <scheme val="minor"/>
      </rPr>
      <t>x+t</t>
    </r>
    <r>
      <rPr>
        <vertAlign val="superscript"/>
        <sz val="11"/>
        <color theme="1"/>
        <rFont val="Calibri"/>
        <family val="2"/>
        <scheme val="minor"/>
      </rPr>
      <t>(</t>
    </r>
    <r>
      <rPr>
        <vertAlign val="superscript"/>
        <sz val="11"/>
        <color theme="1"/>
        <rFont val="Symbol"/>
        <family val="1"/>
        <charset val="2"/>
      </rPr>
      <t>t</t>
    </r>
    <r>
      <rPr>
        <vertAlign val="superscript"/>
        <sz val="11"/>
        <color theme="1"/>
        <rFont val="Calibri"/>
        <family val="2"/>
        <scheme val="minor"/>
      </rPr>
      <t>)</t>
    </r>
  </si>
  <si>
    <r>
      <rPr>
        <vertAlign val="subscript"/>
        <sz val="12"/>
        <color theme="1"/>
        <rFont val="Century Gothic"/>
        <family val="2"/>
      </rPr>
      <t>t</t>
    </r>
    <r>
      <rPr>
        <sz val="12"/>
        <color theme="1"/>
        <rFont val="Century Gothic"/>
        <family val="2"/>
      </rPr>
      <t>p</t>
    </r>
    <r>
      <rPr>
        <vertAlign val="subscript"/>
        <sz val="12"/>
        <color theme="1"/>
        <rFont val="Century Gothic"/>
        <family val="2"/>
      </rPr>
      <t>x</t>
    </r>
    <r>
      <rPr>
        <vertAlign val="superscript"/>
        <sz val="12"/>
        <color theme="1"/>
        <rFont val="Century Gothic"/>
        <family val="2"/>
      </rPr>
      <t>(</t>
    </r>
    <r>
      <rPr>
        <vertAlign val="superscript"/>
        <sz val="12"/>
        <color theme="1"/>
        <rFont val="Symbol"/>
        <family val="1"/>
        <charset val="2"/>
      </rPr>
      <t>t</t>
    </r>
    <r>
      <rPr>
        <vertAlign val="superscript"/>
        <sz val="12"/>
        <color theme="1"/>
        <rFont val="Century Gothic"/>
        <family val="2"/>
      </rPr>
      <t>)</t>
    </r>
  </si>
  <si>
    <t>Tabla conjunta de 4 decrementos</t>
  </si>
  <si>
    <t>Tablas independientes de los 4 decrementos</t>
  </si>
  <si>
    <t>Tablas independientes de los 3 decrementos</t>
  </si>
  <si>
    <t>Tabla conjunta de 3 decrementos</t>
  </si>
  <si>
    <r>
      <t>Dä</t>
    </r>
    <r>
      <rPr>
        <vertAlign val="subscript"/>
        <sz val="12"/>
        <color theme="1"/>
        <rFont val="Century Gothic"/>
        <family val="2"/>
      </rPr>
      <t>x:8|</t>
    </r>
  </si>
  <si>
    <t>Tabla de valores garantizados</t>
  </si>
  <si>
    <r>
      <t>VG</t>
    </r>
    <r>
      <rPr>
        <vertAlign val="subscript"/>
        <sz val="12"/>
        <color theme="1"/>
        <rFont val="Century Gothic"/>
        <family val="2"/>
      </rPr>
      <t>t</t>
    </r>
  </si>
  <si>
    <r>
      <t>VG</t>
    </r>
    <r>
      <rPr>
        <vertAlign val="subscript"/>
        <sz val="11"/>
        <color theme="0"/>
        <rFont val="Century Gothic"/>
        <family val="2"/>
      </rPr>
      <t>t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</si>
  <si>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(1)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</si>
  <si>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'(1)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</si>
  <si>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'(2)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</si>
  <si>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'(3)</t>
    </r>
  </si>
  <si>
    <r>
      <t>p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alibri Light"/>
        <family val="2"/>
      </rPr>
      <t>(</t>
    </r>
    <r>
      <rPr>
        <vertAlign val="superscript"/>
        <sz val="12"/>
        <color theme="1"/>
        <rFont val="Symbol"/>
        <family val="1"/>
        <charset val="2"/>
      </rPr>
      <t>t</t>
    </r>
    <r>
      <rPr>
        <vertAlign val="superscript"/>
        <sz val="12"/>
        <color theme="1"/>
        <rFont val="Calibri Light"/>
        <family val="2"/>
      </rPr>
      <t>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</si>
  <si>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alibri Light"/>
        <family val="2"/>
      </rPr>
      <t>(</t>
    </r>
    <r>
      <rPr>
        <vertAlign val="superscript"/>
        <sz val="12"/>
        <color theme="1"/>
        <rFont val="Symbol"/>
        <family val="1"/>
        <charset val="2"/>
      </rPr>
      <t>t</t>
    </r>
    <r>
      <rPr>
        <vertAlign val="superscript"/>
        <sz val="12"/>
        <color theme="1"/>
        <rFont val="Calibri Light"/>
        <family val="2"/>
      </rPr>
      <t>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</si>
  <si>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(2)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</si>
  <si>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(3)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</si>
  <si>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(1)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</si>
  <si>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(2)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</si>
  <si>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(3)</t>
    </r>
  </si>
  <si>
    <r>
      <t>q</t>
    </r>
    <r>
      <rPr>
        <vertAlign val="subscript"/>
        <sz val="12"/>
        <color theme="1"/>
        <rFont val="Century Gothic"/>
        <family val="2"/>
      </rPr>
      <t>x+t</t>
    </r>
    <r>
      <rPr>
        <vertAlign val="superscript"/>
        <sz val="12"/>
        <color theme="1"/>
        <rFont val="Century Gothic"/>
        <family val="2"/>
      </rPr>
      <t>(</t>
    </r>
    <r>
      <rPr>
        <vertAlign val="superscript"/>
        <sz val="12"/>
        <color theme="1"/>
        <rFont val="Symbol"/>
        <family val="1"/>
        <charset val="2"/>
      </rPr>
      <t>t</t>
    </r>
    <r>
      <rPr>
        <vertAlign val="superscript"/>
        <sz val="12"/>
        <color theme="1"/>
        <rFont val="Century Gothic"/>
        <family val="2"/>
      </rPr>
      <t>)</t>
    </r>
  </si>
  <si>
    <r>
      <t>Duración</t>
    </r>
    <r>
      <rPr>
        <vertAlign val="subscript"/>
        <sz val="11"/>
        <color rgb="FF3F3F76"/>
        <rFont val="Calibri"/>
        <family val="2"/>
        <scheme val="minor"/>
      </rPr>
      <t>t</t>
    </r>
    <r>
      <rPr>
        <sz val="11"/>
        <color rgb="FF3F3F76"/>
        <rFont val="Calibri"/>
        <family val="2"/>
        <scheme val="minor"/>
      </rPr>
      <t xml:space="preserve"> (Base) (30)</t>
    </r>
  </si>
  <si>
    <r>
      <t>q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(</t>
    </r>
    <r>
      <rPr>
        <vertAlign val="superscript"/>
        <sz val="11"/>
        <color theme="1"/>
        <rFont val="Symbol"/>
        <family val="1"/>
        <charset val="2"/>
      </rPr>
      <t>t</t>
    </r>
    <r>
      <rPr>
        <vertAlign val="superscript"/>
        <sz val="11"/>
        <color theme="1"/>
        <rFont val="Century Gothic"/>
        <family val="2"/>
      </rPr>
      <t>)</t>
    </r>
  </si>
  <si>
    <r>
      <t>p</t>
    </r>
    <r>
      <rPr>
        <vertAlign val="subscript"/>
        <sz val="11"/>
        <color theme="1"/>
        <rFont val="Century Gothic"/>
        <family val="2"/>
      </rPr>
      <t>x+t</t>
    </r>
    <r>
      <rPr>
        <vertAlign val="superscript"/>
        <sz val="11"/>
        <color theme="1"/>
        <rFont val="Century Gothic"/>
        <family val="2"/>
      </rPr>
      <t>(</t>
    </r>
    <r>
      <rPr>
        <vertAlign val="superscript"/>
        <sz val="11"/>
        <color theme="1"/>
        <rFont val="Symbol"/>
        <family val="1"/>
        <charset val="2"/>
      </rPr>
      <t>t</t>
    </r>
    <r>
      <rPr>
        <vertAlign val="superscript"/>
        <sz val="11"/>
        <color theme="1"/>
        <rFont val="Century Gothic"/>
        <family val="2"/>
      </rPr>
      <t>)</t>
    </r>
  </si>
  <si>
    <r>
      <t>MR</t>
    </r>
    <r>
      <rPr>
        <vertAlign val="subscript"/>
        <sz val="11"/>
        <color theme="0"/>
        <rFont val="Calibri"/>
        <family val="2"/>
        <scheme val="minor"/>
      </rPr>
      <t>t</t>
    </r>
  </si>
  <si>
    <r>
      <t>IA</t>
    </r>
    <r>
      <rPr>
        <vertAlign val="superscript"/>
        <sz val="11"/>
        <color theme="1"/>
        <rFont val="Century Gothic"/>
        <family val="2"/>
      </rPr>
      <t>(1,2,3)</t>
    </r>
    <r>
      <rPr>
        <vertAlign val="subscript"/>
        <sz val="11"/>
        <color theme="1"/>
        <rFont val="Century Gothic"/>
        <family val="2"/>
      </rPr>
      <t xml:space="preserve">x:18| </t>
    </r>
    <r>
      <rPr>
        <sz val="11"/>
        <color theme="1"/>
        <rFont val="Century Gothic"/>
        <family val="2"/>
      </rPr>
      <t>+ (Costos y Gastos)</t>
    </r>
  </si>
  <si>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V</t>
    </r>
  </si>
  <si>
    <r>
      <t>VPE</t>
    </r>
    <r>
      <rPr>
        <vertAlign val="subscript"/>
        <sz val="11"/>
        <color theme="0"/>
        <rFont val="Century Gothic"/>
        <family val="2"/>
      </rPr>
      <t>t</t>
    </r>
    <r>
      <rPr>
        <sz val="11"/>
        <color theme="0"/>
        <rFont val="Century Gothic"/>
        <family val="2"/>
      </rPr>
      <t xml:space="preserve"> (VG)</t>
    </r>
  </si>
  <si>
    <r>
      <t>VPI</t>
    </r>
    <r>
      <rPr>
        <vertAlign val="subscript"/>
        <sz val="11"/>
        <color theme="0"/>
        <rFont val="Century Gothic"/>
        <family val="2"/>
      </rPr>
      <t>t</t>
    </r>
    <r>
      <rPr>
        <sz val="11"/>
        <color theme="0"/>
        <rFont val="Century Gothic"/>
        <family val="2"/>
      </rPr>
      <t xml:space="preserve"> (VG)</t>
    </r>
  </si>
  <si>
    <r>
      <t>Dä</t>
    </r>
    <r>
      <rPr>
        <vertAlign val="subscript"/>
        <sz val="11"/>
        <color theme="0"/>
        <rFont val="Century Gothic"/>
        <family val="2"/>
      </rPr>
      <t>x:8|</t>
    </r>
    <r>
      <rPr>
        <sz val="11"/>
        <color theme="0"/>
        <rFont val="Century Gothic"/>
        <family val="2"/>
      </rPr>
      <t xml:space="preserve"> </t>
    </r>
  </si>
  <si>
    <r>
      <t>IA</t>
    </r>
    <r>
      <rPr>
        <vertAlign val="subscript"/>
        <sz val="11"/>
        <color theme="0"/>
        <rFont val="Century Gothic"/>
        <family val="2"/>
      </rPr>
      <t>x:18|</t>
    </r>
    <r>
      <rPr>
        <vertAlign val="superscript"/>
        <sz val="11"/>
        <color theme="0"/>
        <rFont val="Century Gothic"/>
        <family val="2"/>
      </rPr>
      <t>(1)</t>
    </r>
  </si>
  <si>
    <r>
      <t>P</t>
    </r>
    <r>
      <rPr>
        <vertAlign val="subscript"/>
        <sz val="11"/>
        <color theme="1"/>
        <rFont val="Century Gothic"/>
        <family val="2"/>
      </rPr>
      <t>(VG)</t>
    </r>
  </si>
  <si>
    <r>
      <t>P</t>
    </r>
    <r>
      <rPr>
        <vertAlign val="subscript"/>
        <sz val="11"/>
        <color rgb="FF9C5700"/>
        <rFont val="Calibri"/>
        <family val="2"/>
        <scheme val="minor"/>
      </rPr>
      <t>(MR)</t>
    </r>
  </si>
  <si>
    <r>
      <t>Duración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(Base)</t>
    </r>
    <r>
      <rPr>
        <sz val="12"/>
        <color theme="1"/>
        <rFont val="Century Gothic"/>
        <family val="2"/>
      </rPr>
      <t xml:space="preserve"> (x) </t>
    </r>
  </si>
  <si>
    <r>
      <t>Desviacion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(Base) (x)</t>
    </r>
  </si>
  <si>
    <t>Tabla que incluye Valores Garantizados, Margen de Riesgo y Reservas en cada tiempo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</si>
</sst>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XDR&quot;* #,##0.00_-;\-&quot;XDR&quot;* #,##0.00_-;_-&quot;XDR&quot;* &quot;-&quot;??_-;_-@_-"/>
    <numFmt numFmtId="164" formatCode="&quot;$&quot;#,##0;[Red]\-&quot;$&quot;#,##0"/>
    <numFmt numFmtId="165" formatCode="&quot;$&quot;#,##0.00;[Red]\-&quot;$&quot;#,##0.00"/>
    <numFmt numFmtId="166" formatCode="_-[$$-80A]* #,##0.00_-;\-[$$-80A]* #,##0.00_-;_-[$$-80A]* &quot;-&quot;??_-;_-@_-"/>
    <numFmt numFmtId="167" formatCode="[$$-80A]#,##0.00"/>
    <numFmt numFmtId="168" formatCode="0.000000"/>
    <numFmt numFmtId="169" formatCode="[$$-80A]#,##0"/>
    <numFmt numFmtId="170" formatCode="_-[$$-2C0A]\ * #,##0.00_-;\-[$$-2C0A]\ * #,##0.00_-;_-[$$-2C0A]\ * &quot;-&quot;??_-;_-@_-"/>
    <numFmt numFmtId="171" formatCode="#,##0.0000"/>
    <numFmt numFmtId="172" formatCode="0.0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0" tint="-4.9989318521683403E-2"/>
      <name val="Century Gothic"/>
      <family val="2"/>
    </font>
    <font>
      <sz val="11"/>
      <name val="Century Gothic"/>
      <family val="2"/>
    </font>
    <font>
      <sz val="11"/>
      <color rgb="FF000000"/>
      <name val="Century Gothic"/>
      <family val="2"/>
    </font>
    <font>
      <sz val="11"/>
      <color theme="0"/>
      <name val="Century Gothic"/>
      <family val="2"/>
    </font>
    <font>
      <sz val="14"/>
      <color theme="1"/>
      <name val="Century Gothic"/>
      <family val="2"/>
    </font>
    <font>
      <vertAlign val="subscript"/>
      <sz val="14"/>
      <color theme="1"/>
      <name val="Century Gothic"/>
      <family val="2"/>
    </font>
    <font>
      <sz val="12"/>
      <color theme="1"/>
      <name val="Century Gothic"/>
      <family val="2"/>
    </font>
    <font>
      <vertAlign val="superscript"/>
      <sz val="12"/>
      <color theme="1"/>
      <name val="Century Gothic"/>
      <family val="2"/>
    </font>
    <font>
      <vertAlign val="subscript"/>
      <sz val="12"/>
      <color theme="1"/>
      <name val="Century Gothic"/>
      <family val="2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b/>
      <sz val="10"/>
      <color rgb="FF000000"/>
      <name val="Montserrat"/>
      <family val="2"/>
    </font>
    <font>
      <sz val="10"/>
      <color rgb="FF000000"/>
      <name val="Montserrat"/>
      <family val="2"/>
    </font>
    <font>
      <sz val="11"/>
      <color rgb="FF3F3F76"/>
      <name val="Calibri"/>
      <family val="2"/>
      <scheme val="minor"/>
    </font>
    <font>
      <vertAlign val="superscript"/>
      <sz val="12"/>
      <color theme="1"/>
      <name val="Calibri Light"/>
      <family val="2"/>
    </font>
    <font>
      <vertAlign val="superscript"/>
      <sz val="12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Symbol"/>
      <family val="1"/>
      <charset val="2"/>
    </font>
    <font>
      <vertAlign val="superscript"/>
      <sz val="11"/>
      <color theme="1"/>
      <name val="Century Gothic"/>
      <family val="2"/>
    </font>
    <font>
      <vertAlign val="subscript"/>
      <sz val="11"/>
      <color theme="1"/>
      <name val="Century Gothic"/>
      <family val="2"/>
    </font>
    <font>
      <sz val="10"/>
      <color rgb="FF000000"/>
      <name val="Montserrat"/>
    </font>
    <font>
      <b/>
      <sz val="10"/>
      <color rgb="FF000000"/>
      <name val="Montserrat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1"/>
      <color rgb="FF9C5700"/>
      <name val="Calibri"/>
      <family val="2"/>
      <scheme val="minor"/>
    </font>
    <font>
      <vertAlign val="superscript"/>
      <sz val="11"/>
      <color rgb="FF9C5700"/>
      <name val="Calibri"/>
      <family val="2"/>
      <scheme val="minor"/>
    </font>
    <font>
      <vertAlign val="subscript"/>
      <sz val="11"/>
      <color rgb="FF3F3F76"/>
      <name val="Calibri"/>
      <family val="2"/>
      <scheme val="minor"/>
    </font>
    <font>
      <vertAlign val="superscript"/>
      <sz val="11"/>
      <color rgb="FF3F3F76"/>
      <name val="Calibri"/>
      <family val="2"/>
      <scheme val="minor"/>
    </font>
    <font>
      <sz val="16"/>
      <color theme="0"/>
      <name val="Century Gothic"/>
      <family val="2"/>
    </font>
    <font>
      <vertAlign val="subscript"/>
      <sz val="11"/>
      <color theme="0"/>
      <name val="Century Gothic"/>
      <family val="2"/>
    </font>
    <font>
      <vertAlign val="superscript"/>
      <sz val="11"/>
      <color theme="0"/>
      <name val="Century Gothic"/>
      <family val="2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entury Gothic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9F9F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0000"/>
      </patternFill>
    </fill>
    <fill>
      <patternFill patternType="solid">
        <fgColor rgb="FF3C83EC"/>
        <bgColor indexed="64"/>
      </patternFill>
    </fill>
    <fill>
      <patternFill patternType="solid">
        <fgColor rgb="FF0764CB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CC99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3" fillId="14" borderId="0" applyNumberFormat="0" applyBorder="0" applyAlignment="0" applyProtection="0"/>
    <xf numFmtId="0" fontId="19" fillId="22" borderId="30" applyNumberFormat="0" applyAlignment="0" applyProtection="0"/>
    <xf numFmtId="9" fontId="1" fillId="0" borderId="0" applyFont="0" applyFill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3" fillId="31" borderId="0" applyNumberFormat="0" applyBorder="0" applyAlignment="0" applyProtection="0"/>
  </cellStyleXfs>
  <cellXfs count="270">
    <xf numFmtId="0" fontId="0" fillId="0" borderId="0" xfId="0"/>
    <xf numFmtId="0" fontId="5" fillId="7" borderId="5" xfId="0" applyFont="1" applyFill="1" applyBorder="1" applyAlignment="1" applyProtection="1">
      <alignment horizontal="center" vertical="center" readingOrder="1"/>
      <protection locked="0"/>
    </xf>
    <xf numFmtId="0" fontId="6" fillId="8" borderId="5" xfId="0" applyFont="1" applyFill="1" applyBorder="1" applyAlignment="1" applyProtection="1">
      <alignment horizontal="center" vertical="center" wrapText="1"/>
      <protection locked="0"/>
    </xf>
    <xf numFmtId="0" fontId="5" fillId="7" borderId="6" xfId="0" applyFont="1" applyFill="1" applyBorder="1" applyAlignment="1" applyProtection="1">
      <alignment horizontal="center" vertical="center" readingOrder="1"/>
      <protection locked="0"/>
    </xf>
    <xf numFmtId="0" fontId="6" fillId="9" borderId="6" xfId="0" applyFont="1" applyFill="1" applyBorder="1" applyAlignment="1" applyProtection="1">
      <alignment horizontal="center" vertical="center" wrapText="1"/>
      <protection locked="0"/>
    </xf>
    <xf numFmtId="0" fontId="6" fillId="8" borderId="6" xfId="0" applyFont="1" applyFill="1" applyBorder="1" applyAlignment="1" applyProtection="1">
      <alignment horizontal="center" vertical="center" wrapText="1"/>
      <protection locked="0"/>
    </xf>
    <xf numFmtId="0" fontId="5" fillId="10" borderId="6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/>
    <xf numFmtId="0" fontId="3" fillId="0" borderId="0" xfId="0" applyFont="1"/>
    <xf numFmtId="0" fontId="7" fillId="11" borderId="10" xfId="4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0" xfId="0" applyFont="1" applyBorder="1"/>
    <xf numFmtId="166" fontId="3" fillId="0" borderId="10" xfId="1" applyNumberFormat="1" applyFont="1" applyBorder="1"/>
    <xf numFmtId="0" fontId="7" fillId="12" borderId="10" xfId="0" applyFont="1" applyFill="1" applyBorder="1" applyAlignment="1">
      <alignment horizontal="center" vertical="center"/>
    </xf>
    <xf numFmtId="0" fontId="7" fillId="12" borderId="10" xfId="4" applyFont="1" applyFill="1" applyBorder="1" applyAlignment="1">
      <alignment horizontal="center" vertical="center"/>
    </xf>
    <xf numFmtId="0" fontId="10" fillId="5" borderId="10" xfId="5" applyFont="1" applyBorder="1" applyAlignment="1" applyProtection="1">
      <alignment horizontal="center"/>
      <protection locked="0"/>
    </xf>
    <xf numFmtId="0" fontId="3" fillId="5" borderId="10" xfId="5" applyFont="1" applyBorder="1" applyAlignment="1">
      <alignment horizontal="center"/>
    </xf>
    <xf numFmtId="166" fontId="0" fillId="0" borderId="0" xfId="0" applyNumberFormat="1"/>
    <xf numFmtId="166" fontId="0" fillId="0" borderId="10" xfId="0" applyNumberFormat="1" applyBorder="1"/>
    <xf numFmtId="0" fontId="1" fillId="13" borderId="0" xfId="2" applyFont="1" applyFill="1"/>
    <xf numFmtId="166" fontId="3" fillId="0" borderId="10" xfId="0" applyNumberFormat="1" applyFont="1" applyBorder="1"/>
    <xf numFmtId="0" fontId="0" fillId="13" borderId="0" xfId="0" applyFill="1"/>
    <xf numFmtId="0" fontId="8" fillId="0" borderId="10" xfId="0" applyFont="1" applyBorder="1" applyAlignment="1">
      <alignment horizontal="center" vertical="center"/>
    </xf>
    <xf numFmtId="0" fontId="3" fillId="3" borderId="10" xfId="3" applyFont="1" applyBorder="1" applyAlignment="1">
      <alignment horizontal="center" vertical="center"/>
    </xf>
    <xf numFmtId="164" fontId="0" fillId="0" borderId="0" xfId="0" applyNumberFormat="1"/>
    <xf numFmtId="164" fontId="0" fillId="0" borderId="10" xfId="0" applyNumberFormat="1" applyBorder="1"/>
    <xf numFmtId="165" fontId="0" fillId="0" borderId="0" xfId="0" applyNumberFormat="1"/>
    <xf numFmtId="10" fontId="0" fillId="0" borderId="10" xfId="0" applyNumberFormat="1" applyBorder="1"/>
    <xf numFmtId="0" fontId="1" fillId="4" borderId="10" xfId="4" applyBorder="1" applyAlignment="1" applyProtection="1">
      <alignment horizontal="center"/>
      <protection locked="0"/>
    </xf>
    <xf numFmtId="1" fontId="0" fillId="0" borderId="10" xfId="0" applyNumberFormat="1" applyBorder="1"/>
    <xf numFmtId="0" fontId="1" fillId="5" borderId="10" xfId="5" applyBorder="1" applyAlignment="1" applyProtection="1">
      <alignment horizontal="center"/>
      <protection locked="0"/>
    </xf>
    <xf numFmtId="2" fontId="0" fillId="0" borderId="0" xfId="1" applyNumberFormat="1" applyFont="1"/>
    <xf numFmtId="2" fontId="3" fillId="0" borderId="10" xfId="0" applyNumberFormat="1" applyFont="1" applyBorder="1"/>
    <xf numFmtId="0" fontId="17" fillId="20" borderId="10" xfId="0" applyFont="1" applyFill="1" applyBorder="1" applyAlignment="1">
      <alignment horizontal="center" vertical="center" wrapText="1"/>
    </xf>
    <xf numFmtId="0" fontId="17" fillId="19" borderId="1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vertical="center" wrapText="1"/>
    </xf>
    <xf numFmtId="0" fontId="18" fillId="21" borderId="10" xfId="0" applyFont="1" applyFill="1" applyBorder="1" applyAlignment="1">
      <alignment horizontal="center" vertical="center" wrapText="1"/>
    </xf>
    <xf numFmtId="0" fontId="18" fillId="19" borderId="10" xfId="0" applyFont="1" applyFill="1" applyBorder="1" applyAlignment="1">
      <alignment horizontal="center" vertical="center" wrapText="1"/>
    </xf>
    <xf numFmtId="0" fontId="18" fillId="21" borderId="10" xfId="0" applyFont="1" applyFill="1" applyBorder="1" applyAlignment="1">
      <alignment horizontal="right" vertical="center" wrapText="1" indent="3"/>
    </xf>
    <xf numFmtId="0" fontId="18" fillId="19" borderId="10" xfId="0" applyFont="1" applyFill="1" applyBorder="1" applyAlignment="1">
      <alignment horizontal="right" vertical="center" wrapText="1" indent="3"/>
    </xf>
    <xf numFmtId="168" fontId="18" fillId="19" borderId="10" xfId="0" applyNumberFormat="1" applyFont="1" applyFill="1" applyBorder="1" applyAlignment="1">
      <alignment horizontal="right" vertical="center" wrapText="1" indent="3"/>
    </xf>
    <xf numFmtId="0" fontId="3" fillId="0" borderId="0" xfId="0" applyFont="1" applyBorder="1" applyAlignment="1">
      <alignment horizontal="center" vertical="top"/>
    </xf>
    <xf numFmtId="0" fontId="3" fillId="0" borderId="0" xfId="0" applyFont="1" applyBorder="1" applyAlignment="1">
      <alignment horizontal="center"/>
    </xf>
    <xf numFmtId="168" fontId="0" fillId="0" borderId="10" xfId="0" applyNumberFormat="1" applyBorder="1"/>
    <xf numFmtId="0" fontId="17" fillId="20" borderId="10" xfId="0" applyFont="1" applyFill="1" applyBorder="1" applyAlignment="1">
      <alignment horizontal="center" vertical="center" wrapText="1"/>
    </xf>
    <xf numFmtId="0" fontId="1" fillId="23" borderId="27" xfId="5" applyFill="1" applyBorder="1" applyAlignment="1">
      <alignment horizontal="center" vertical="center"/>
    </xf>
    <xf numFmtId="0" fontId="1" fillId="23" borderId="29" xfId="5" applyFill="1" applyBorder="1" applyAlignment="1">
      <alignment horizontal="center" vertical="center"/>
    </xf>
    <xf numFmtId="0" fontId="19" fillId="22" borderId="10" xfId="7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10" fontId="3" fillId="0" borderId="10" xfId="8" applyNumberFormat="1" applyFont="1" applyBorder="1"/>
    <xf numFmtId="167" fontId="3" fillId="0" borderId="10" xfId="0" applyNumberFormat="1" applyFont="1" applyBorder="1"/>
    <xf numFmtId="0" fontId="10" fillId="0" borderId="10" xfId="0" applyFont="1" applyBorder="1" applyAlignment="1">
      <alignment horizontal="center"/>
    </xf>
    <xf numFmtId="2" fontId="3" fillId="0" borderId="10" xfId="1" applyNumberFormat="1" applyFont="1" applyBorder="1"/>
    <xf numFmtId="167" fontId="0" fillId="0" borderId="10" xfId="0" applyNumberFormat="1" applyBorder="1"/>
    <xf numFmtId="0" fontId="19" fillId="22" borderId="10" xfId="7" applyBorder="1"/>
    <xf numFmtId="2" fontId="0" fillId="0" borderId="10" xfId="0" applyNumberFormat="1" applyBorder="1"/>
    <xf numFmtId="0" fontId="19" fillId="22" borderId="35" xfId="7" applyBorder="1"/>
    <xf numFmtId="0" fontId="0" fillId="0" borderId="10" xfId="0" quotePrefix="1" applyBorder="1" applyAlignment="1">
      <alignment horizontal="right"/>
    </xf>
    <xf numFmtId="0" fontId="0" fillId="0" borderId="10" xfId="0" applyBorder="1" applyAlignment="1">
      <alignment horizontal="right"/>
    </xf>
    <xf numFmtId="170" fontId="0" fillId="0" borderId="10" xfId="0" applyNumberFormat="1" applyBorder="1"/>
    <xf numFmtId="0" fontId="0" fillId="0" borderId="0" xfId="0" applyFill="1" applyBorder="1" applyAlignment="1"/>
    <xf numFmtId="0" fontId="0" fillId="0" borderId="0" xfId="0" applyFill="1" applyAlignment="1"/>
    <xf numFmtId="0" fontId="0" fillId="25" borderId="10" xfId="0" applyFill="1" applyBorder="1"/>
    <xf numFmtId="0" fontId="27" fillId="20" borderId="10" xfId="0" applyFont="1" applyFill="1" applyBorder="1" applyAlignment="1">
      <alignment horizontal="center" vertical="center" wrapText="1"/>
    </xf>
    <xf numFmtId="0" fontId="26" fillId="19" borderId="10" xfId="0" applyFont="1" applyFill="1" applyBorder="1" applyAlignment="1">
      <alignment horizontal="center" vertical="center" wrapText="1"/>
    </xf>
    <xf numFmtId="0" fontId="26" fillId="21" borderId="10" xfId="0" applyFont="1" applyFill="1" applyBorder="1" applyAlignment="1">
      <alignment horizontal="center" vertical="center" wrapText="1"/>
    </xf>
    <xf numFmtId="0" fontId="26" fillId="19" borderId="10" xfId="0" applyFont="1" applyFill="1" applyBorder="1" applyAlignment="1">
      <alignment vertical="center" wrapText="1"/>
    </xf>
    <xf numFmtId="0" fontId="26" fillId="21" borderId="10" xfId="0" applyFont="1" applyFill="1" applyBorder="1" applyAlignment="1">
      <alignment vertical="center" wrapText="1"/>
    </xf>
    <xf numFmtId="0" fontId="3" fillId="0" borderId="0" xfId="0" applyFont="1" applyBorder="1" applyAlignment="1">
      <alignment horizontal="center" vertical="top"/>
    </xf>
    <xf numFmtId="0" fontId="0" fillId="26" borderId="10" xfId="0" applyFill="1" applyBorder="1"/>
    <xf numFmtId="0" fontId="22" fillId="0" borderId="0" xfId="0" applyFont="1"/>
    <xf numFmtId="0" fontId="0" fillId="0" borderId="0" xfId="0" applyBorder="1"/>
    <xf numFmtId="0" fontId="28" fillId="27" borderId="10" xfId="9" applyBorder="1"/>
    <xf numFmtId="171" fontId="0" fillId="0" borderId="10" xfId="0" applyNumberFormat="1" applyBorder="1"/>
    <xf numFmtId="171" fontId="3" fillId="0" borderId="0" xfId="0" applyNumberFormat="1" applyFont="1"/>
    <xf numFmtId="0" fontId="1" fillId="28" borderId="10" xfId="10" applyBorder="1"/>
    <xf numFmtId="0" fontId="10" fillId="5" borderId="27" xfId="5" applyFont="1" applyBorder="1" applyAlignment="1" applyProtection="1">
      <alignment horizontal="center"/>
      <protection locked="0"/>
    </xf>
    <xf numFmtId="0" fontId="19" fillId="22" borderId="30" xfId="7" applyAlignment="1">
      <alignment horizontal="center" vertical="center"/>
    </xf>
    <xf numFmtId="0" fontId="1" fillId="4" borderId="10" xfId="4" applyBorder="1"/>
    <xf numFmtId="0" fontId="3" fillId="0" borderId="10" xfId="0" applyFont="1" applyBorder="1" applyProtection="1"/>
    <xf numFmtId="0" fontId="0" fillId="0" borderId="0" xfId="0" applyProtection="1"/>
    <xf numFmtId="167" fontId="0" fillId="0" borderId="0" xfId="0" applyNumberFormat="1" applyProtection="1"/>
    <xf numFmtId="0" fontId="19" fillId="22" borderId="10" xfId="7" applyBorder="1" applyAlignment="1" applyProtection="1">
      <alignment horizontal="center" vertical="center"/>
    </xf>
    <xf numFmtId="169" fontId="0" fillId="0" borderId="10" xfId="0" applyNumberForma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top"/>
    </xf>
    <xf numFmtId="0" fontId="17" fillId="20" borderId="1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0" fillId="25" borderId="10" xfId="0" applyFill="1" applyBorder="1" applyAlignment="1" applyProtection="1">
      <alignment horizontal="center" vertical="center"/>
    </xf>
    <xf numFmtId="167" fontId="0" fillId="0" borderId="10" xfId="0" applyNumberFormat="1" applyBorder="1" applyAlignment="1" applyProtection="1">
      <alignment horizontal="center" vertical="center"/>
    </xf>
    <xf numFmtId="0" fontId="18" fillId="21" borderId="10" xfId="0" applyFont="1" applyFill="1" applyBorder="1" applyAlignment="1" applyProtection="1">
      <alignment horizontal="right" vertical="center" wrapText="1" indent="3"/>
    </xf>
    <xf numFmtId="0" fontId="3" fillId="0" borderId="0" xfId="0" applyFont="1" applyBorder="1" applyAlignment="1" applyProtection="1">
      <alignment horizontal="center"/>
    </xf>
    <xf numFmtId="0" fontId="14" fillId="14" borderId="10" xfId="6" applyFon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13" fillId="14" borderId="10" xfId="6" applyBorder="1" applyAlignment="1" applyProtection="1">
      <alignment horizontal="center" vertical="center"/>
    </xf>
    <xf numFmtId="0" fontId="17" fillId="19" borderId="10" xfId="0" applyFont="1" applyFill="1" applyBorder="1" applyAlignment="1" applyProtection="1">
      <alignment horizontal="center" vertical="center" wrapText="1"/>
    </xf>
    <xf numFmtId="168" fontId="18" fillId="19" borderId="10" xfId="0" applyNumberFormat="1" applyFont="1" applyFill="1" applyBorder="1" applyAlignment="1" applyProtection="1">
      <alignment horizontal="right" vertical="center" wrapText="1" indent="3"/>
    </xf>
    <xf numFmtId="0" fontId="18" fillId="21" borderId="10" xfId="0" applyFont="1" applyFill="1" applyBorder="1" applyAlignment="1" applyProtection="1">
      <alignment horizontal="center" vertical="center" wrapText="1"/>
    </xf>
    <xf numFmtId="0" fontId="18" fillId="19" borderId="10" xfId="0" applyFont="1" applyFill="1" applyBorder="1" applyAlignment="1" applyProtection="1">
      <alignment horizontal="right" vertical="center" wrapText="1" indent="3"/>
    </xf>
    <xf numFmtId="0" fontId="18" fillId="19" borderId="10" xfId="0" applyFont="1" applyFill="1" applyBorder="1" applyAlignment="1" applyProtection="1">
      <alignment horizontal="center" vertical="center" wrapText="1"/>
    </xf>
    <xf numFmtId="0" fontId="17" fillId="21" borderId="10" xfId="0" applyFont="1" applyFill="1" applyBorder="1" applyAlignment="1" applyProtection="1">
      <alignment horizontal="center" vertical="center" wrapText="1"/>
    </xf>
    <xf numFmtId="168" fontId="18" fillId="21" borderId="10" xfId="0" applyNumberFormat="1" applyFont="1" applyFill="1" applyBorder="1" applyAlignment="1" applyProtection="1">
      <alignment horizontal="right" vertical="center" wrapText="1" indent="3"/>
    </xf>
    <xf numFmtId="0" fontId="0" fillId="0" borderId="10" xfId="0" applyBorder="1" applyProtection="1"/>
    <xf numFmtId="168" fontId="0" fillId="0" borderId="10" xfId="0" applyNumberFormat="1" applyBorder="1" applyProtection="1"/>
    <xf numFmtId="0" fontId="0" fillId="0" borderId="0" xfId="0" applyFill="1" applyProtection="1"/>
    <xf numFmtId="0" fontId="3" fillId="0" borderId="0" xfId="5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3" fillId="0" borderId="0" xfId="0" applyFont="1" applyProtection="1"/>
    <xf numFmtId="0" fontId="10" fillId="5" borderId="10" xfId="5" applyFont="1" applyBorder="1" applyAlignment="1" applyProtection="1">
      <alignment horizontal="center"/>
    </xf>
    <xf numFmtId="0" fontId="3" fillId="5" borderId="10" xfId="5" applyFont="1" applyBorder="1" applyAlignment="1" applyProtection="1">
      <alignment horizontal="center"/>
    </xf>
    <xf numFmtId="0" fontId="1" fillId="5" borderId="10" xfId="5" applyBorder="1" applyAlignment="1" applyProtection="1">
      <alignment horizontal="center"/>
    </xf>
    <xf numFmtId="168" fontId="0" fillId="0" borderId="0" xfId="0" applyNumberFormat="1" applyProtection="1"/>
    <xf numFmtId="0" fontId="7" fillId="11" borderId="10" xfId="4" applyFont="1" applyFill="1" applyBorder="1" applyAlignment="1" applyProtection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0" xfId="1" applyNumberFormat="1" applyFont="1" applyBorder="1" applyProtection="1"/>
    <xf numFmtId="166" fontId="3" fillId="0" borderId="10" xfId="0" applyNumberFormat="1" applyFont="1" applyBorder="1" applyProtection="1"/>
    <xf numFmtId="166" fontId="0" fillId="0" borderId="10" xfId="0" applyNumberFormat="1" applyBorder="1" applyProtection="1"/>
    <xf numFmtId="10" fontId="0" fillId="0" borderId="10" xfId="0" applyNumberFormat="1" applyBorder="1" applyProtection="1"/>
    <xf numFmtId="0" fontId="1" fillId="4" borderId="10" xfId="4" applyBorder="1" applyAlignment="1" applyProtection="1">
      <alignment horizontal="center"/>
    </xf>
    <xf numFmtId="169" fontId="0" fillId="0" borderId="10" xfId="0" applyNumberFormat="1" applyBorder="1" applyProtection="1"/>
    <xf numFmtId="169" fontId="0" fillId="0" borderId="10" xfId="0" quotePrefix="1" applyNumberFormat="1" applyBorder="1" applyAlignment="1" applyProtection="1">
      <alignment horizontal="right"/>
    </xf>
    <xf numFmtId="0" fontId="1" fillId="0" borderId="0" xfId="5" applyFill="1" applyBorder="1" applyAlignment="1" applyProtection="1">
      <alignment vertical="center"/>
    </xf>
    <xf numFmtId="0" fontId="1" fillId="23" borderId="27" xfId="5" applyFill="1" applyBorder="1" applyAlignment="1" applyProtection="1">
      <alignment horizontal="center" vertical="center"/>
    </xf>
    <xf numFmtId="0" fontId="0" fillId="0" borderId="23" xfId="0" applyBorder="1" applyProtection="1"/>
    <xf numFmtId="0" fontId="1" fillId="23" borderId="29" xfId="5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right"/>
    </xf>
    <xf numFmtId="0" fontId="0" fillId="24" borderId="10" xfId="0" applyFill="1" applyBorder="1" applyAlignment="1" applyProtection="1">
      <alignment horizontal="center"/>
    </xf>
    <xf numFmtId="0" fontId="3" fillId="0" borderId="0" xfId="0" applyFont="1" applyBorder="1" applyAlignment="1">
      <alignment horizontal="center" vertical="top"/>
    </xf>
    <xf numFmtId="0" fontId="3" fillId="0" borderId="10" xfId="0" applyFont="1" applyFill="1" applyBorder="1" applyAlignment="1">
      <alignment horizontal="center"/>
    </xf>
    <xf numFmtId="172" fontId="0" fillId="0" borderId="0" xfId="0" applyNumberFormat="1"/>
    <xf numFmtId="0" fontId="0" fillId="0" borderId="10" xfId="0" applyFill="1" applyBorder="1"/>
    <xf numFmtId="172" fontId="0" fillId="0" borderId="10" xfId="0" applyNumberFormat="1" applyBorder="1"/>
    <xf numFmtId="0" fontId="0" fillId="30" borderId="10" xfId="0" applyFill="1" applyBorder="1"/>
    <xf numFmtId="1" fontId="0" fillId="0" borderId="0" xfId="0" applyNumberFormat="1"/>
    <xf numFmtId="2" fontId="0" fillId="0" borderId="0" xfId="0" applyNumberFormat="1" applyFill="1" applyBorder="1"/>
    <xf numFmtId="0" fontId="19" fillId="22" borderId="30" xfId="7"/>
    <xf numFmtId="4" fontId="3" fillId="0" borderId="10" xfId="0" applyNumberFormat="1" applyFont="1" applyBorder="1" applyAlignment="1">
      <alignment horizontal="center" vertical="center"/>
    </xf>
    <xf numFmtId="0" fontId="0" fillId="4" borderId="10" xfId="4" applyFont="1" applyBorder="1"/>
    <xf numFmtId="0" fontId="3" fillId="4" borderId="10" xfId="4" applyFont="1" applyBorder="1" applyAlignment="1" applyProtection="1">
      <alignment horizontal="center"/>
      <protection locked="0"/>
    </xf>
    <xf numFmtId="0" fontId="10" fillId="5" borderId="20" xfId="5" applyFont="1" applyBorder="1" applyAlignment="1" applyProtection="1">
      <alignment horizontal="center"/>
      <protection locked="0"/>
    </xf>
    <xf numFmtId="0" fontId="0" fillId="0" borderId="0" xfId="0" applyFill="1" applyBorder="1"/>
    <xf numFmtId="0" fontId="10" fillId="0" borderId="0" xfId="5" applyFont="1" applyFill="1" applyBorder="1" applyAlignment="1" applyProtection="1">
      <alignment horizontal="center"/>
      <protection locked="0"/>
    </xf>
    <xf numFmtId="171" fontId="0" fillId="0" borderId="0" xfId="0" applyNumberFormat="1" applyBorder="1"/>
    <xf numFmtId="167" fontId="0" fillId="0" borderId="10" xfId="0" applyNumberFormat="1" applyBorder="1" applyProtection="1"/>
    <xf numFmtId="0" fontId="3" fillId="0" borderId="0" xfId="0" applyFont="1" applyBorder="1" applyAlignment="1">
      <alignment horizontal="center" vertical="top"/>
    </xf>
    <xf numFmtId="0" fontId="0" fillId="0" borderId="0" xfId="0" applyBorder="1" applyProtection="1"/>
    <xf numFmtId="167" fontId="0" fillId="0" borderId="0" xfId="0" applyNumberFormat="1" applyBorder="1" applyAlignment="1" applyProtection="1">
      <alignment horizontal="center" vertical="center"/>
    </xf>
    <xf numFmtId="167" fontId="0" fillId="0" borderId="0" xfId="0" applyNumberFormat="1" applyBorder="1" applyProtection="1"/>
    <xf numFmtId="0" fontId="1" fillId="0" borderId="0" xfId="4" applyFill="1" applyBorder="1" applyAlignment="1" applyProtection="1">
      <alignment horizontal="center"/>
    </xf>
    <xf numFmtId="167" fontId="0" fillId="0" borderId="0" xfId="0" applyNumberFormat="1" applyFill="1" applyBorder="1" applyAlignment="1" applyProtection="1">
      <alignment horizontal="center" vertical="center"/>
    </xf>
    <xf numFmtId="167" fontId="0" fillId="0" borderId="10" xfId="0" applyNumberFormat="1" applyBorder="1" applyAlignment="1" applyProtection="1">
      <alignment horizontal="right" vertical="center"/>
    </xf>
    <xf numFmtId="0" fontId="17" fillId="20" borderId="20" xfId="0" applyFont="1" applyFill="1" applyBorder="1" applyAlignment="1">
      <alignment horizontal="center" vertical="center" wrapText="1"/>
    </xf>
    <xf numFmtId="0" fontId="17" fillId="20" borderId="23" xfId="0" applyFont="1" applyFill="1" applyBorder="1" applyAlignment="1">
      <alignment horizontal="center" vertical="center" wrapText="1"/>
    </xf>
    <xf numFmtId="0" fontId="3" fillId="5" borderId="18" xfId="5" applyFont="1" applyBorder="1" applyAlignment="1">
      <alignment horizontal="center" vertical="center"/>
    </xf>
    <xf numFmtId="0" fontId="3" fillId="5" borderId="19" xfId="5" applyFont="1" applyBorder="1" applyAlignment="1">
      <alignment horizontal="center" vertical="center"/>
    </xf>
    <xf numFmtId="0" fontId="3" fillId="5" borderId="21" xfId="5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top"/>
    </xf>
    <xf numFmtId="0" fontId="3" fillId="0" borderId="31" xfId="0" applyFont="1" applyBorder="1" applyAlignment="1">
      <alignment horizontal="center" vertical="top"/>
    </xf>
    <xf numFmtId="0" fontId="3" fillId="0" borderId="32" xfId="0" applyFont="1" applyBorder="1" applyAlignment="1">
      <alignment horizontal="center" vertical="top"/>
    </xf>
    <xf numFmtId="0" fontId="3" fillId="0" borderId="19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33" xfId="0" applyFont="1" applyBorder="1" applyAlignment="1">
      <alignment horizontal="center" vertical="top"/>
    </xf>
    <xf numFmtId="0" fontId="3" fillId="0" borderId="21" xfId="0" applyFont="1" applyBorder="1" applyAlignment="1">
      <alignment horizontal="center" vertical="top"/>
    </xf>
    <xf numFmtId="0" fontId="3" fillId="0" borderId="26" xfId="0" applyFont="1" applyBorder="1" applyAlignment="1">
      <alignment horizontal="center" vertical="top"/>
    </xf>
    <xf numFmtId="0" fontId="3" fillId="0" borderId="34" xfId="0" applyFont="1" applyBorder="1" applyAlignment="1">
      <alignment horizontal="center" vertical="top"/>
    </xf>
    <xf numFmtId="0" fontId="17" fillId="20" borderId="10" xfId="0" applyFont="1" applyFill="1" applyBorder="1" applyAlignment="1">
      <alignment horizontal="center" vertical="center" wrapText="1"/>
    </xf>
    <xf numFmtId="0" fontId="17" fillId="20" borderId="27" xfId="0" applyFont="1" applyFill="1" applyBorder="1" applyAlignment="1">
      <alignment horizontal="center" vertical="center" wrapText="1"/>
    </xf>
    <xf numFmtId="0" fontId="17" fillId="20" borderId="29" xfId="0" applyFont="1" applyFill="1" applyBorder="1" applyAlignment="1">
      <alignment horizontal="center" vertical="center" wrapText="1"/>
    </xf>
    <xf numFmtId="0" fontId="35" fillId="31" borderId="18" xfId="12" applyFont="1" applyBorder="1" applyAlignment="1" applyProtection="1">
      <alignment horizontal="center" vertical="center"/>
    </xf>
    <xf numFmtId="0" fontId="35" fillId="31" borderId="31" xfId="12" applyFont="1" applyBorder="1" applyAlignment="1" applyProtection="1">
      <alignment horizontal="center" vertical="center"/>
    </xf>
    <xf numFmtId="0" fontId="35" fillId="31" borderId="32" xfId="12" applyFont="1" applyBorder="1" applyAlignment="1" applyProtection="1">
      <alignment horizontal="center" vertical="center"/>
    </xf>
    <xf numFmtId="0" fontId="35" fillId="31" borderId="21" xfId="12" applyFont="1" applyBorder="1" applyAlignment="1" applyProtection="1">
      <alignment horizontal="center" vertical="center"/>
    </xf>
    <xf numFmtId="0" fontId="35" fillId="31" borderId="26" xfId="12" applyFont="1" applyBorder="1" applyAlignment="1" applyProtection="1">
      <alignment horizontal="center" vertical="center"/>
    </xf>
    <xf numFmtId="0" fontId="35" fillId="31" borderId="34" xfId="12" applyFont="1" applyBorder="1" applyAlignment="1" applyProtection="1">
      <alignment horizontal="center" vertical="center"/>
    </xf>
    <xf numFmtId="0" fontId="19" fillId="22" borderId="10" xfId="7" applyBorder="1" applyAlignment="1">
      <alignment horizontal="center"/>
    </xf>
    <xf numFmtId="0" fontId="3" fillId="4" borderId="20" xfId="4" applyFont="1" applyBorder="1" applyAlignment="1">
      <alignment horizontal="center"/>
    </xf>
    <xf numFmtId="0" fontId="3" fillId="4" borderId="23" xfId="4" applyFont="1" applyBorder="1" applyAlignment="1">
      <alignment horizontal="center"/>
    </xf>
    <xf numFmtId="0" fontId="3" fillId="5" borderId="20" xfId="5" applyFont="1" applyBorder="1" applyAlignment="1">
      <alignment horizontal="center"/>
    </xf>
    <xf numFmtId="0" fontId="3" fillId="5" borderId="22" xfId="5" applyFont="1" applyBorder="1" applyAlignment="1">
      <alignment horizontal="center"/>
    </xf>
    <xf numFmtId="0" fontId="3" fillId="4" borderId="10" xfId="4" applyFont="1" applyBorder="1" applyAlignment="1">
      <alignment horizontal="center"/>
    </xf>
    <xf numFmtId="0" fontId="3" fillId="0" borderId="0" xfId="0" applyFont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3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center" vertical="center" wrapText="1"/>
      <protection locked="0"/>
    </xf>
    <xf numFmtId="0" fontId="4" fillId="6" borderId="4" xfId="0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>
      <alignment horizontal="center" vertical="top"/>
    </xf>
    <xf numFmtId="0" fontId="3" fillId="0" borderId="12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1" fillId="5" borderId="10" xfId="5" applyBorder="1" applyAlignment="1">
      <alignment horizontal="center"/>
    </xf>
    <xf numFmtId="0" fontId="10" fillId="5" borderId="20" xfId="5" applyFont="1" applyBorder="1" applyAlignment="1" applyProtection="1">
      <alignment horizontal="center"/>
      <protection locked="0"/>
    </xf>
    <xf numFmtId="0" fontId="10" fillId="5" borderId="22" xfId="5" applyFont="1" applyBorder="1" applyAlignment="1" applyProtection="1">
      <alignment horizontal="center"/>
      <protection locked="0"/>
    </xf>
    <xf numFmtId="0" fontId="10" fillId="5" borderId="23" xfId="5" applyFont="1" applyBorder="1" applyAlignment="1" applyProtection="1">
      <alignment horizontal="center"/>
      <protection locked="0"/>
    </xf>
    <xf numFmtId="0" fontId="3" fillId="13" borderId="19" xfId="0" applyFont="1" applyFill="1" applyBorder="1" applyAlignment="1">
      <alignment horizontal="center"/>
    </xf>
    <xf numFmtId="0" fontId="7" fillId="11" borderId="20" xfId="4" applyFont="1" applyFill="1" applyBorder="1" applyAlignment="1">
      <alignment horizontal="center"/>
    </xf>
    <xf numFmtId="0" fontId="7" fillId="11" borderId="23" xfId="4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9" fillId="5" borderId="10" xfId="5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30" fillId="29" borderId="10" xfId="1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5" borderId="27" xfId="5" applyFont="1" applyBorder="1" applyAlignment="1">
      <alignment horizontal="center" vertical="center"/>
    </xf>
    <xf numFmtId="0" fontId="3" fillId="5" borderId="28" xfId="5" applyFont="1" applyBorder="1" applyAlignment="1">
      <alignment horizontal="center" vertical="center"/>
    </xf>
    <xf numFmtId="0" fontId="3" fillId="5" borderId="29" xfId="5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top"/>
    </xf>
    <xf numFmtId="0" fontId="27" fillId="20" borderId="10" xfId="0" applyFont="1" applyFill="1" applyBorder="1" applyAlignment="1">
      <alignment horizontal="center" vertical="center" wrapText="1"/>
    </xf>
    <xf numFmtId="0" fontId="27" fillId="20" borderId="27" xfId="0" applyFont="1" applyFill="1" applyBorder="1" applyAlignment="1">
      <alignment horizontal="center" vertical="center" wrapText="1"/>
    </xf>
    <xf numFmtId="0" fontId="27" fillId="20" borderId="29" xfId="0" applyFont="1" applyFill="1" applyBorder="1" applyAlignment="1">
      <alignment horizontal="center" vertical="center" wrapText="1"/>
    </xf>
    <xf numFmtId="0" fontId="17" fillId="20" borderId="20" xfId="0" applyFont="1" applyFill="1" applyBorder="1" applyAlignment="1" applyProtection="1">
      <alignment horizontal="center" vertical="center" wrapText="1"/>
    </xf>
    <xf numFmtId="0" fontId="17" fillId="20" borderId="23" xfId="0" applyFont="1" applyFill="1" applyBorder="1" applyAlignment="1" applyProtection="1">
      <alignment horizontal="center" vertical="center" wrapText="1"/>
    </xf>
    <xf numFmtId="0" fontId="17" fillId="20" borderId="10" xfId="0" applyFont="1" applyFill="1" applyBorder="1" applyAlignment="1" applyProtection="1">
      <alignment horizontal="center" vertical="center" wrapText="1"/>
    </xf>
    <xf numFmtId="0" fontId="17" fillId="20" borderId="27" xfId="0" applyFont="1" applyFill="1" applyBorder="1" applyAlignment="1" applyProtection="1">
      <alignment horizontal="center" vertical="center" wrapText="1"/>
    </xf>
    <xf numFmtId="0" fontId="17" fillId="20" borderId="29" xfId="0" applyFont="1" applyFill="1" applyBorder="1" applyAlignment="1" applyProtection="1">
      <alignment horizontal="center" vertical="center" wrapText="1"/>
    </xf>
    <xf numFmtId="0" fontId="1" fillId="5" borderId="10" xfId="5" applyBorder="1" applyAlignment="1" applyProtection="1">
      <alignment horizontal="center"/>
    </xf>
    <xf numFmtId="0" fontId="3" fillId="5" borderId="27" xfId="5" applyFont="1" applyBorder="1" applyAlignment="1" applyProtection="1">
      <alignment horizontal="center" vertical="center"/>
    </xf>
    <xf numFmtId="0" fontId="3" fillId="5" borderId="28" xfId="5" applyFont="1" applyBorder="1" applyAlignment="1" applyProtection="1">
      <alignment horizontal="center" vertical="center"/>
    </xf>
    <xf numFmtId="0" fontId="3" fillId="5" borderId="29" xfId="5" applyFont="1" applyBorder="1" applyAlignment="1" applyProtection="1">
      <alignment horizontal="center" vertical="center"/>
    </xf>
    <xf numFmtId="0" fontId="3" fillId="4" borderId="20" xfId="4" applyFont="1" applyBorder="1" applyAlignment="1" applyProtection="1">
      <alignment horizontal="center"/>
    </xf>
    <xf numFmtId="0" fontId="3" fillId="4" borderId="23" xfId="4" applyFont="1" applyBorder="1" applyAlignment="1" applyProtection="1">
      <alignment horizontal="center"/>
    </xf>
    <xf numFmtId="0" fontId="1" fillId="5" borderId="20" xfId="5" applyBorder="1" applyAlignment="1" applyProtection="1">
      <alignment horizontal="center"/>
    </xf>
    <xf numFmtId="0" fontId="1" fillId="5" borderId="23" xfId="5" applyBorder="1" applyAlignment="1" applyProtection="1">
      <alignment horizontal="center"/>
    </xf>
    <xf numFmtId="0" fontId="3" fillId="0" borderId="11" xfId="0" applyFont="1" applyBorder="1" applyAlignment="1" applyProtection="1">
      <alignment horizontal="center" vertical="top"/>
    </xf>
    <xf numFmtId="0" fontId="3" fillId="0" borderId="12" xfId="0" applyFont="1" applyBorder="1" applyAlignment="1" applyProtection="1">
      <alignment horizontal="center" vertical="top"/>
    </xf>
    <xf numFmtId="0" fontId="3" fillId="0" borderId="16" xfId="0" applyFont="1" applyBorder="1" applyAlignment="1" applyProtection="1">
      <alignment horizontal="center" vertical="top"/>
    </xf>
    <xf numFmtId="0" fontId="3" fillId="0" borderId="9" xfId="0" applyFont="1" applyBorder="1" applyAlignment="1" applyProtection="1">
      <alignment horizontal="center" vertical="top"/>
    </xf>
    <xf numFmtId="0" fontId="3" fillId="0" borderId="8" xfId="0" applyFont="1" applyBorder="1" applyAlignment="1" applyProtection="1">
      <alignment horizontal="center" vertical="top"/>
    </xf>
    <xf numFmtId="0" fontId="3" fillId="0" borderId="15" xfId="0" applyFont="1" applyBorder="1" applyAlignment="1" applyProtection="1">
      <alignment horizontal="center" vertical="top"/>
    </xf>
    <xf numFmtId="0" fontId="3" fillId="0" borderId="9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0" borderId="14" xfId="0" applyFont="1" applyBorder="1" applyAlignment="1" applyProtection="1">
      <alignment horizontal="center"/>
    </xf>
    <xf numFmtId="0" fontId="3" fillId="0" borderId="17" xfId="0" applyFont="1" applyBorder="1" applyAlignment="1" applyProtection="1">
      <alignment horizontal="center"/>
    </xf>
    <xf numFmtId="0" fontId="0" fillId="18" borderId="20" xfId="0" applyFill="1" applyBorder="1" applyAlignment="1" applyProtection="1">
      <alignment horizontal="center"/>
    </xf>
    <xf numFmtId="0" fontId="0" fillId="18" borderId="22" xfId="0" applyFill="1" applyBorder="1" applyAlignment="1" applyProtection="1">
      <alignment horizontal="center"/>
    </xf>
    <xf numFmtId="0" fontId="0" fillId="18" borderId="23" xfId="0" applyFill="1" applyBorder="1" applyAlignment="1" applyProtection="1">
      <alignment horizontal="center"/>
    </xf>
    <xf numFmtId="0" fontId="0" fillId="17" borderId="20" xfId="0" applyFill="1" applyBorder="1" applyAlignment="1" applyProtection="1">
      <alignment horizontal="center"/>
    </xf>
    <xf numFmtId="0" fontId="0" fillId="17" borderId="22" xfId="0" applyFill="1" applyBorder="1" applyAlignment="1" applyProtection="1">
      <alignment horizontal="center"/>
    </xf>
    <xf numFmtId="0" fontId="0" fillId="17" borderId="23" xfId="0" applyFill="1" applyBorder="1" applyAlignment="1" applyProtection="1">
      <alignment horizontal="center"/>
    </xf>
    <xf numFmtId="0" fontId="35" fillId="31" borderId="10" xfId="12" applyFont="1" applyBorder="1" applyAlignment="1" applyProtection="1">
      <alignment horizontal="center" vertical="center"/>
    </xf>
    <xf numFmtId="0" fontId="0" fillId="15" borderId="18" xfId="0" applyFill="1" applyBorder="1" applyAlignment="1" applyProtection="1">
      <alignment horizontal="center" vertical="center"/>
    </xf>
    <xf numFmtId="0" fontId="0" fillId="15" borderId="31" xfId="0" applyFill="1" applyBorder="1" applyAlignment="1" applyProtection="1">
      <alignment horizontal="center" vertical="center"/>
    </xf>
    <xf numFmtId="0" fontId="0" fillId="15" borderId="32" xfId="0" applyFill="1" applyBorder="1" applyAlignment="1" applyProtection="1">
      <alignment horizontal="center" vertical="center"/>
    </xf>
    <xf numFmtId="0" fontId="0" fillId="15" borderId="21" xfId="0" applyFill="1" applyBorder="1" applyAlignment="1" applyProtection="1">
      <alignment horizontal="center" vertical="center"/>
    </xf>
    <xf numFmtId="0" fontId="0" fillId="15" borderId="26" xfId="0" applyFill="1" applyBorder="1" applyAlignment="1" applyProtection="1">
      <alignment horizontal="center" vertical="center"/>
    </xf>
    <xf numFmtId="0" fontId="0" fillId="15" borderId="34" xfId="0" applyFill="1" applyBorder="1" applyAlignment="1" applyProtection="1">
      <alignment horizontal="center" vertical="center"/>
    </xf>
    <xf numFmtId="0" fontId="0" fillId="16" borderId="20" xfId="0" applyFill="1" applyBorder="1" applyAlignment="1" applyProtection="1">
      <alignment horizontal="center"/>
    </xf>
    <xf numFmtId="0" fontId="0" fillId="16" borderId="22" xfId="0" applyFill="1" applyBorder="1" applyAlignment="1" applyProtection="1">
      <alignment horizontal="center"/>
    </xf>
    <xf numFmtId="0" fontId="0" fillId="16" borderId="23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22" xfId="0" applyFill="1" applyBorder="1" applyAlignment="1" applyProtection="1">
      <alignment horizontal="center"/>
    </xf>
    <xf numFmtId="0" fontId="0" fillId="24" borderId="23" xfId="0" applyFill="1" applyBorder="1" applyAlignment="1" applyProtection="1">
      <alignment horizontal="center"/>
    </xf>
    <xf numFmtId="0" fontId="38" fillId="32" borderId="10" xfId="0" applyFont="1" applyFill="1" applyBorder="1" applyAlignment="1">
      <alignment horizontal="center" vertical="center"/>
    </xf>
  </cellXfs>
  <cellStyles count="13">
    <cellStyle name="20% - Énfasis1" xfId="3" builtinId="30"/>
    <cellStyle name="40% - Énfasis5" xfId="4" builtinId="47"/>
    <cellStyle name="60% - Énfasis2" xfId="10" builtinId="36"/>
    <cellStyle name="60% - Énfasis5" xfId="5" builtinId="48"/>
    <cellStyle name="60% - Énfasis6" xfId="11" builtinId="52"/>
    <cellStyle name="Bueno" xfId="2" builtinId="26"/>
    <cellStyle name="Énfasis1" xfId="12" builtinId="29"/>
    <cellStyle name="Énfasis2" xfId="6" builtinId="33"/>
    <cellStyle name="Entrada" xfId="7" builtinId="20"/>
    <cellStyle name="Moneda" xfId="1" builtinId="4"/>
    <cellStyle name="Neutral" xfId="9" builtinId="28"/>
    <cellStyle name="Normal" xfId="0" builtinId="0"/>
    <cellStyle name="Porcentaje" xfId="8" builtinId="5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3C83EC"/>
      <color rgb="FF88C8FC"/>
      <color rgb="FFFFCCFF"/>
      <color rgb="FFFFFFCC"/>
      <color rgb="FFCC99FF"/>
      <color rgb="FF9966FF"/>
      <color rgb="FFFF5353"/>
      <color rgb="FF0764CB"/>
      <color rgb="FF0E80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Gráfica</a:t>
            </a:r>
            <a:r>
              <a:rPr lang="es-419" baseline="0"/>
              <a:t> de los valores garantizados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253958880139981"/>
          <c:y val="0.19486111111111112"/>
          <c:w val="0.72698097112860893"/>
          <c:h val="0.72088764946048411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27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'Valores Garantizados'!$O$11:$O$29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'Valores Garantizados'!$P$11:$P$29</c:f>
              <c:numCache>
                <c:formatCode>_-[$$-80A]* #,##0.00_-;\-[$$-80A]* #,##0.00_-;_-[$$-80A]* "-"??_-;_-@_-</c:formatCode>
                <c:ptCount val="19"/>
                <c:pt idx="0">
                  <c:v>0</c:v>
                </c:pt>
                <c:pt idx="1">
                  <c:v>2576.9791042693814</c:v>
                </c:pt>
                <c:pt idx="2">
                  <c:v>4996.8186186518733</c:v>
                </c:pt>
                <c:pt idx="3">
                  <c:v>7232.1092494265567</c:v>
                </c:pt>
                <c:pt idx="4">
                  <c:v>9251.5232349070666</c:v>
                </c:pt>
                <c:pt idx="5">
                  <c:v>11018.478318552532</c:v>
                </c:pt>
                <c:pt idx="6">
                  <c:v>12490.775921983743</c:v>
                </c:pt>
                <c:pt idx="7">
                  <c:v>13619.941805606881</c:v>
                </c:pt>
                <c:pt idx="8">
                  <c:v>14350.420001041148</c:v>
                </c:pt>
                <c:pt idx="9">
                  <c:v>14616.116320685016</c:v>
                </c:pt>
                <c:pt idx="10">
                  <c:v>14678.455441541475</c:v>
                </c:pt>
                <c:pt idx="11">
                  <c:v>14491.158018786429</c:v>
                </c:pt>
                <c:pt idx="12">
                  <c:v>13998.856201148516</c:v>
                </c:pt>
                <c:pt idx="13">
                  <c:v>13133.428372064011</c:v>
                </c:pt>
                <c:pt idx="14">
                  <c:v>11819.562475350824</c:v>
                </c:pt>
                <c:pt idx="15">
                  <c:v>9966.0976957007388</c:v>
                </c:pt>
                <c:pt idx="16">
                  <c:v>7465.1503879859374</c:v>
                </c:pt>
                <c:pt idx="17">
                  <c:v>4191.9682029840942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5-4FFC-B210-0AB0FDCB7A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375034672"/>
        <c:axId val="375028848"/>
        <c:axId val="437991968"/>
      </c:bar3DChart>
      <c:catAx>
        <c:axId val="37503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/>
                  <a:t>Tiempo</a:t>
                </a:r>
                <a:r>
                  <a:rPr lang="es-419" sz="1400" baseline="0"/>
                  <a:t> t</a:t>
                </a:r>
                <a:endParaRPr lang="es-419" sz="1400"/>
              </a:p>
            </c:rich>
          </c:tx>
          <c:layout>
            <c:manualLayout>
              <c:xMode val="edge"/>
              <c:yMode val="edge"/>
              <c:x val="0.49284180844175035"/>
              <c:y val="0.849757555003505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75028848"/>
        <c:crosses val="autoZero"/>
        <c:auto val="1"/>
        <c:lblAlgn val="ctr"/>
        <c:lblOffset val="100"/>
        <c:noMultiLvlLbl val="0"/>
      </c:catAx>
      <c:valAx>
        <c:axId val="37502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/>
                  <a:t>Valor</a:t>
                </a:r>
                <a:r>
                  <a:rPr lang="es-419" sz="1400" baseline="0"/>
                  <a:t> Garantizado al tiempo t</a:t>
                </a:r>
                <a:endParaRPr lang="es-419" sz="1400"/>
              </a:p>
            </c:rich>
          </c:tx>
          <c:layout>
            <c:manualLayout>
              <c:xMode val="edge"/>
              <c:yMode val="edge"/>
              <c:x val="7.2096177239121831E-2"/>
              <c:y val="0.22272519117998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_-[$$-80A]* #,##0.00_-;\-[$$-80A]* #,##0.00_-;_-[$$-80A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75034672"/>
        <c:crosses val="autoZero"/>
        <c:crossBetween val="between"/>
      </c:valAx>
      <c:serAx>
        <c:axId val="43799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5028848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Margen</a:t>
            </a:r>
            <a:r>
              <a:rPr lang="es-419" baseline="0"/>
              <a:t> de Riesgo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75000"/>
                <a:alpha val="85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  <a:sp3d contourW="9525">
              <a:contourClr>
                <a:schemeClr val="tx1"/>
              </a:contourClr>
            </a:sp3d>
          </c:spPr>
          <c:invertIfNegative val="0"/>
          <c:dLbls>
            <c:dLbl>
              <c:idx val="0"/>
              <c:layout>
                <c:manualLayout>
                  <c:x val="2.981674732742454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06E-4714-85E6-C689C696369E}"/>
                </c:ext>
              </c:extLst>
            </c:dLbl>
            <c:dLbl>
              <c:idx val="1"/>
              <c:layout>
                <c:manualLayout>
                  <c:x val="3.3543840743352642E-2"/>
                  <c:y val="-1.14955221773062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06E-4714-85E6-C689C696369E}"/>
                </c:ext>
              </c:extLst>
            </c:dLbl>
            <c:dLbl>
              <c:idx val="2"/>
              <c:layout>
                <c:manualLayout>
                  <c:x val="2.9816747327424571E-2"/>
                  <c:y val="-8.62164163297965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06E-4714-85E6-C689C696369E}"/>
                </c:ext>
              </c:extLst>
            </c:dLbl>
            <c:dLbl>
              <c:idx val="3"/>
              <c:layout>
                <c:manualLayout>
                  <c:x val="2.7332018383472476E-2"/>
                  <c:y val="-5.7477610886531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6E-4714-85E6-C689C696369E}"/>
                </c:ext>
              </c:extLst>
            </c:dLbl>
            <c:dLbl>
              <c:idx val="4"/>
              <c:layout>
                <c:manualLayout>
                  <c:x val="2.9816747327424478E-2"/>
                  <c:y val="-1.43694027216327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6E-4714-85E6-C689C696369E}"/>
                </c:ext>
              </c:extLst>
            </c:dLbl>
            <c:dLbl>
              <c:idx val="5"/>
              <c:layout>
                <c:manualLayout>
                  <c:x val="3.1059111799400546E-2"/>
                  <c:y val="-1.7243283265959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06E-4714-85E6-C689C696369E}"/>
                </c:ext>
              </c:extLst>
            </c:dLbl>
            <c:dLbl>
              <c:idx val="6"/>
              <c:layout>
                <c:manualLayout>
                  <c:x val="2.4847289439520474E-2"/>
                  <c:y val="-1.14955221773061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6E-4714-85E6-C689C696369E}"/>
                </c:ext>
              </c:extLst>
            </c:dLbl>
            <c:dLbl>
              <c:idx val="7"/>
              <c:layout>
                <c:manualLayout>
                  <c:x val="2.8574382855448544E-2"/>
                  <c:y val="-1.43694027216327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6E-4714-85E6-C689C696369E}"/>
                </c:ext>
              </c:extLst>
            </c:dLbl>
            <c:dLbl>
              <c:idx val="8"/>
              <c:layout>
                <c:manualLayout>
                  <c:x val="2.7332018383472521E-2"/>
                  <c:y val="-1.14955221773062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6E-4714-85E6-C689C696369E}"/>
                </c:ext>
              </c:extLst>
            </c:dLbl>
            <c:dLbl>
              <c:idx val="9"/>
              <c:layout>
                <c:manualLayout>
                  <c:x val="2.9816747327424571E-2"/>
                  <c:y val="-1.72432832659593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6E-4714-85E6-C689C696369E}"/>
                </c:ext>
              </c:extLst>
            </c:dLbl>
            <c:dLbl>
              <c:idx val="10"/>
              <c:layout>
                <c:manualLayout>
                  <c:x val="2.6089653911496407E-2"/>
                  <c:y val="-2.29910443546124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6E-4714-85E6-C689C696369E}"/>
                </c:ext>
              </c:extLst>
            </c:dLbl>
            <c:dLbl>
              <c:idx val="11"/>
              <c:layout>
                <c:manualLayout>
                  <c:x val="2.360492496754436E-2"/>
                  <c:y val="-2.0117163810285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6E-4714-85E6-C689C696369E}"/>
                </c:ext>
              </c:extLst>
            </c:dLbl>
            <c:dLbl>
              <c:idx val="12"/>
              <c:layout>
                <c:manualLayout>
                  <c:x val="2.360492496754436E-2"/>
                  <c:y val="-1.4369402721632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6E-4714-85E6-C689C696369E}"/>
                </c:ext>
              </c:extLst>
            </c:dLbl>
            <c:dLbl>
              <c:idx val="13"/>
              <c:layout>
                <c:manualLayout>
                  <c:x val="2.4847289439520383E-2"/>
                  <c:y val="-2.87388054432655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6E-4714-85E6-C689C696369E}"/>
                </c:ext>
              </c:extLst>
            </c:dLbl>
            <c:dLbl>
              <c:idx val="14"/>
              <c:layout>
                <c:manualLayout>
                  <c:x val="1.7393102607664333E-2"/>
                  <c:y val="-2.87388054432655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6E-4714-85E6-C689C696369E}"/>
                </c:ext>
              </c:extLst>
            </c:dLbl>
            <c:dLbl>
              <c:idx val="15"/>
              <c:layout>
                <c:manualLayout>
                  <c:x val="1.7393102607664242E-2"/>
                  <c:y val="-3.16126859875920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6E-4714-85E6-C689C696369E}"/>
                </c:ext>
              </c:extLst>
            </c:dLbl>
            <c:dLbl>
              <c:idx val="16"/>
              <c:layout>
                <c:manualLayout>
                  <c:x val="1.6150738135688125E-2"/>
                  <c:y val="-4.3108208164898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6E-4714-85E6-C689C696369E}"/>
                </c:ext>
              </c:extLst>
            </c:dLbl>
            <c:dLbl>
              <c:idx val="17"/>
              <c:layout>
                <c:manualLayout>
                  <c:x val="1.7393102607664333E-2"/>
                  <c:y val="-1.43694027216327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6E-4714-85E6-C689C69636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'Margen de Riesgo'!$L$11:$L$29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'Margen de Riesgo'!$M$11:$M$29</c:f>
              <c:numCache>
                <c:formatCode>#,##0.0000</c:formatCode>
                <c:ptCount val="19"/>
                <c:pt idx="0">
                  <c:v>660492647.17962241</c:v>
                </c:pt>
                <c:pt idx="1">
                  <c:v>639153111.62244129</c:v>
                </c:pt>
                <c:pt idx="2">
                  <c:v>616010930.53711855</c:v>
                </c:pt>
                <c:pt idx="3">
                  <c:v>591446392.77301359</c:v>
                </c:pt>
                <c:pt idx="4">
                  <c:v>565403828.21902287</c:v>
                </c:pt>
                <c:pt idx="5">
                  <c:v>537044374.49991918</c:v>
                </c:pt>
                <c:pt idx="6">
                  <c:v>507147702.64847994</c:v>
                </c:pt>
                <c:pt idx="7">
                  <c:v>475398342.0738858</c:v>
                </c:pt>
                <c:pt idx="8">
                  <c:v>442273919.67299891</c:v>
                </c:pt>
                <c:pt idx="9">
                  <c:v>407492739.35910916</c:v>
                </c:pt>
                <c:pt idx="10">
                  <c:v>370796790.49143988</c:v>
                </c:pt>
                <c:pt idx="11">
                  <c:v>331919542.24249017</c:v>
                </c:pt>
                <c:pt idx="12">
                  <c:v>291022612.83478987</c:v>
                </c:pt>
                <c:pt idx="13">
                  <c:v>247873398.47981367</c:v>
                </c:pt>
                <c:pt idx="14">
                  <c:v>202807997.80848667</c:v>
                </c:pt>
                <c:pt idx="15">
                  <c:v>155616760.3742733</c:v>
                </c:pt>
                <c:pt idx="16">
                  <c:v>106044654.32418038</c:v>
                </c:pt>
                <c:pt idx="17">
                  <c:v>54221316.614420064</c:v>
                </c:pt>
                <c:pt idx="18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3-48C2-B876-C8CAA721F0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952205488"/>
        <c:axId val="1952207152"/>
        <c:axId val="0"/>
      </c:bar3DChart>
      <c:catAx>
        <c:axId val="1952205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/>
                  <a:t>Tiempo</a:t>
                </a:r>
                <a:r>
                  <a:rPr lang="es-419" sz="1400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952207152"/>
        <c:crosses val="autoZero"/>
        <c:auto val="1"/>
        <c:lblAlgn val="ctr"/>
        <c:lblOffset val="100"/>
        <c:noMultiLvlLbl val="0"/>
      </c:catAx>
      <c:valAx>
        <c:axId val="195220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/>
                  <a:t>Margen</a:t>
                </a:r>
                <a:r>
                  <a:rPr lang="es-419" sz="1400" baseline="0"/>
                  <a:t> de riesgo al tiempo 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9522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Reservas</a:t>
            </a:r>
            <a:r>
              <a:rPr lang="es-419" baseline="0"/>
              <a:t> de Riesgo en Curso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dLbl>
              <c:idx val="15"/>
              <c:layout>
                <c:manualLayout>
                  <c:x val="3.8852982455888931E-3"/>
                  <c:y val="-1.3170137697937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BD-44CE-9355-2C5AC865C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Reservas!$T$32:$T$50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Reservas!$U$32:$U$50</c:f>
              <c:numCache>
                <c:formatCode>[$$-80A]#,##0.00</c:formatCode>
                <c:ptCount val="19"/>
                <c:pt idx="0">
                  <c:v>660495592.70353806</c:v>
                </c:pt>
                <c:pt idx="1">
                  <c:v>639173488.9118048</c:v>
                </c:pt>
                <c:pt idx="2">
                  <c:v>616052389.50338745</c:v>
                </c:pt>
                <c:pt idx="3">
                  <c:v>591509699.96879077</c:v>
                </c:pt>
                <c:pt idx="4">
                  <c:v>565488379.20077372</c:v>
                </c:pt>
                <c:pt idx="5">
                  <c:v>537151082.30191624</c:v>
                </c:pt>
                <c:pt idx="6">
                  <c:v>507274043.81730479</c:v>
                </c:pt>
                <c:pt idx="7">
                  <c:v>475540583.50731105</c:v>
                </c:pt>
                <c:pt idx="8">
                  <c:v>442427683.87763125</c:v>
                </c:pt>
                <c:pt idx="9">
                  <c:v>407652673.43997705</c:v>
                </c:pt>
                <c:pt idx="10">
                  <c:v>370957698.42799789</c:v>
                </c:pt>
                <c:pt idx="11">
                  <c:v>332075573.46513438</c:v>
                </c:pt>
                <c:pt idx="12">
                  <c:v>291167895.11750346</c:v>
                </c:pt>
                <c:pt idx="13">
                  <c:v>248001951.86596474</c:v>
                </c:pt>
                <c:pt idx="14">
                  <c:v>202914811.83119389</c:v>
                </c:pt>
                <c:pt idx="15">
                  <c:v>155697780.89645192</c:v>
                </c:pt>
                <c:pt idx="16">
                  <c:v>106097342.17954934</c:v>
                </c:pt>
                <c:pt idx="17">
                  <c:v>54245907.396792047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D-41BD-A9E5-2F89E61DEA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716609087"/>
        <c:axId val="716610751"/>
        <c:axId val="0"/>
      </c:bar3DChart>
      <c:catAx>
        <c:axId val="716609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/>
                  <a:t>Tiempo</a:t>
                </a:r>
              </a:p>
            </c:rich>
          </c:tx>
          <c:layout>
            <c:manualLayout>
              <c:xMode val="edge"/>
              <c:yMode val="edge"/>
              <c:x val="0.51555042658973349"/>
              <c:y val="0.89278424379695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16610751"/>
        <c:crosses val="autoZero"/>
        <c:auto val="1"/>
        <c:lblAlgn val="ctr"/>
        <c:lblOffset val="100"/>
        <c:noMultiLvlLbl val="0"/>
      </c:catAx>
      <c:valAx>
        <c:axId val="71661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/>
                  <a:t>Reserva</a:t>
                </a:r>
                <a:r>
                  <a:rPr lang="es-419" sz="1400" baseline="0"/>
                  <a:t> al tiempo t</a:t>
                </a:r>
                <a:endParaRPr lang="es-419" sz="1400"/>
              </a:p>
            </c:rich>
          </c:tx>
          <c:layout>
            <c:manualLayout>
              <c:xMode val="edge"/>
              <c:yMode val="edge"/>
              <c:x val="1.9199801113779148E-2"/>
              <c:y val="0.303333951556835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[$$-80A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1660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9524</xdr:rowOff>
    </xdr:from>
    <xdr:to>
      <xdr:col>14</xdr:col>
      <xdr:colOff>1352550</xdr:colOff>
      <xdr:row>6</xdr:row>
      <xdr:rowOff>240195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07457" y="390524"/>
          <a:ext cx="6943310" cy="12163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>
              <a:latin typeface="Century Gothic" panose="020B0502020202020204" pitchFamily="34" charset="0"/>
            </a:rPr>
            <a:t>Un seguro temporal con sumas aseguradas crecientes</a:t>
          </a:r>
          <a:r>
            <a:rPr lang="es-419" sz="1200" baseline="0">
              <a:latin typeface="Century Gothic" panose="020B0502020202020204" pitchFamily="34" charset="0"/>
            </a:rPr>
            <a:t> (Suma asegurada base de $150,000)</a:t>
          </a:r>
          <a:r>
            <a:rPr lang="es-419" sz="1200">
              <a:latin typeface="Century Gothic" panose="020B0502020202020204" pitchFamily="34" charset="0"/>
            </a:rPr>
            <a:t> 18</a:t>
          </a:r>
          <a:r>
            <a:rPr lang="es-419" sz="1200" baseline="0">
              <a:latin typeface="Century Gothic" panose="020B0502020202020204" pitchFamily="34" charset="0"/>
            </a:rPr>
            <a:t> años que tiene como cobertura base la muerte, como coberturas adicionales ivalidez y desempleo; para una persona entre edad 30 y 45 años, con primas anticipadas decrecientes temporal 8.</a:t>
          </a:r>
          <a:endParaRPr lang="es-419" sz="1200"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9</xdr:row>
          <xdr:rowOff>190500</xdr:rowOff>
        </xdr:from>
        <xdr:to>
          <xdr:col>15</xdr:col>
          <xdr:colOff>19050</xdr:colOff>
          <xdr:row>14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Valores Garantizados, Margen de Riesgo y Reservas con graficas.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340179</xdr:colOff>
      <xdr:row>29</xdr:row>
      <xdr:rowOff>186419</xdr:rowOff>
    </xdr:from>
    <xdr:to>
      <xdr:col>25</xdr:col>
      <xdr:colOff>24848</xdr:colOff>
      <xdr:row>50</xdr:row>
      <xdr:rowOff>134031</xdr:rowOff>
    </xdr:to>
    <xdr:graphicFrame macro="">
      <xdr:nvGraphicFramePr>
        <xdr:cNvPr id="2" name="VG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13607</xdr:colOff>
      <xdr:row>2</xdr:row>
      <xdr:rowOff>13608</xdr:rowOff>
    </xdr:from>
    <xdr:to>
      <xdr:col>14</xdr:col>
      <xdr:colOff>1483178</xdr:colOff>
      <xdr:row>6</xdr:row>
      <xdr:rowOff>247650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566932" y="394608"/>
          <a:ext cx="6460671" cy="14532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>
              <a:latin typeface="Century Gothic" panose="020B0502020202020204" pitchFamily="34" charset="0"/>
            </a:rPr>
            <a:t>Un seguro temporal con sumas aseguradas crecientes</a:t>
          </a:r>
          <a:r>
            <a:rPr lang="es-419" sz="1200" baseline="0">
              <a:latin typeface="Century Gothic" panose="020B0502020202020204" pitchFamily="34" charset="0"/>
            </a:rPr>
            <a:t> (Suma asegurada base de $150,000)</a:t>
          </a:r>
          <a:r>
            <a:rPr lang="es-419" sz="1200">
              <a:latin typeface="Century Gothic" panose="020B0502020202020204" pitchFamily="34" charset="0"/>
            </a:rPr>
            <a:t> 18</a:t>
          </a:r>
          <a:r>
            <a:rPr lang="es-419" sz="1200" baseline="0">
              <a:latin typeface="Century Gothic" panose="020B0502020202020204" pitchFamily="34" charset="0"/>
            </a:rPr>
            <a:t> años que tiene como cobertura base la muerte, como coberturas adicionales ivalidez y desempleo; para una persona entre edad 30 y 45 años, con primas anticipadas decrecientes temporal 8.</a:t>
          </a:r>
          <a:endParaRPr lang="es-419" sz="1200"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23</xdr:col>
          <xdr:colOff>9525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Valores Garantizados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1</xdr:row>
      <xdr:rowOff>9524</xdr:rowOff>
    </xdr:from>
    <xdr:to>
      <xdr:col>11</xdr:col>
      <xdr:colOff>941293</xdr:colOff>
      <xdr:row>5</xdr:row>
      <xdr:rowOff>257174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53759" y="200024"/>
          <a:ext cx="4965887" cy="1121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>
              <a:latin typeface="Century Gothic" panose="020B0502020202020204" pitchFamily="34" charset="0"/>
            </a:rPr>
            <a:t>Un seguro temporal con sumas aseguradas crecientes</a:t>
          </a:r>
          <a:r>
            <a:rPr lang="es-419" sz="1200" baseline="0">
              <a:latin typeface="Century Gothic" panose="020B0502020202020204" pitchFamily="34" charset="0"/>
            </a:rPr>
            <a:t> (Suma asegurada base de $150,000)</a:t>
          </a:r>
          <a:r>
            <a:rPr lang="es-419" sz="1200">
              <a:latin typeface="Century Gothic" panose="020B0502020202020204" pitchFamily="34" charset="0"/>
            </a:rPr>
            <a:t> 18</a:t>
          </a:r>
          <a:r>
            <a:rPr lang="es-419" sz="1200" baseline="0">
              <a:latin typeface="Century Gothic" panose="020B0502020202020204" pitchFamily="34" charset="0"/>
            </a:rPr>
            <a:t> años que tiene como cobertura base la muerte, como coberturas adicionales ivalidez y desempleo; para una persona entre edad 30 y 45 años, con primas anticipadas decrecientes temporal 8.</a:t>
          </a:r>
          <a:endParaRPr lang="es-419" sz="12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16008</xdr:colOff>
      <xdr:row>29</xdr:row>
      <xdr:rowOff>186018</xdr:rowOff>
    </xdr:from>
    <xdr:to>
      <xdr:col>18</xdr:col>
      <xdr:colOff>24812</xdr:colOff>
      <xdr:row>52</xdr:row>
      <xdr:rowOff>0</xdr:rowOff>
    </xdr:to>
    <xdr:graphicFrame macro="">
      <xdr:nvGraphicFramePr>
        <xdr:cNvPr id="4" name="MR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16</xdr:col>
          <xdr:colOff>0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Duración y Desviación (Base)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13608</xdr:colOff>
      <xdr:row>2</xdr:row>
      <xdr:rowOff>13606</xdr:rowOff>
    </xdr:from>
    <xdr:to>
      <xdr:col>17</xdr:col>
      <xdr:colOff>1292678</xdr:colOff>
      <xdr:row>6</xdr:row>
      <xdr:rowOff>190499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205358" y="408213"/>
          <a:ext cx="4966606" cy="1197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>
              <a:latin typeface="Century Gothic" panose="020B0502020202020204" pitchFamily="34" charset="0"/>
            </a:rPr>
            <a:t>Un seguro temporal con sumas aseguradas crecientes</a:t>
          </a:r>
          <a:r>
            <a:rPr lang="es-419" sz="1200" baseline="0">
              <a:latin typeface="Century Gothic" panose="020B0502020202020204" pitchFamily="34" charset="0"/>
            </a:rPr>
            <a:t> (Suma asegurada base de $150,000)</a:t>
          </a:r>
          <a:r>
            <a:rPr lang="es-419" sz="1200">
              <a:latin typeface="Century Gothic" panose="020B0502020202020204" pitchFamily="34" charset="0"/>
            </a:rPr>
            <a:t> 18</a:t>
          </a:r>
          <a:r>
            <a:rPr lang="es-419" sz="1200" baseline="0">
              <a:latin typeface="Century Gothic" panose="020B0502020202020204" pitchFamily="34" charset="0"/>
            </a:rPr>
            <a:t> años que tiene como cobertura base la muerte, como coberturas adicionales ivalidez y desempleo; para una persona entre edad 30 y 45 años, con primas anticipadas decrecientes temporal 8.</a:t>
          </a:r>
          <a:endParaRPr lang="es-419" sz="12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21</xdr:col>
      <xdr:colOff>1176128</xdr:colOff>
      <xdr:row>29</xdr:row>
      <xdr:rowOff>189672</xdr:rowOff>
    </xdr:from>
    <xdr:to>
      <xdr:col>30</xdr:col>
      <xdr:colOff>0</xdr:colOff>
      <xdr:row>50</xdr:row>
      <xdr:rowOff>8283</xdr:rowOff>
    </xdr:to>
    <xdr:graphicFrame macro="">
      <xdr:nvGraphicFramePr>
        <xdr:cNvPr id="3" name="tV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</xdr:row>
          <xdr:rowOff>0</xdr:rowOff>
        </xdr:from>
        <xdr:to>
          <xdr:col>21</xdr:col>
          <xdr:colOff>0</xdr:colOff>
          <xdr:row>2</xdr:row>
          <xdr:rowOff>200025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entury Gothic"/>
                </a:rPr>
                <a:t>Calcular Reservas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616F-488A-4C2A-B9E6-68F3F66FA2C5}">
  <sheetPr codeName="Hoja1"/>
  <dimension ref="B3:BF117"/>
  <sheetViews>
    <sheetView topLeftCell="M7" zoomScaleNormal="100" workbookViewId="0">
      <selection activeCell="M11" sqref="M11"/>
    </sheetView>
  </sheetViews>
  <sheetFormatPr baseColWidth="10" defaultRowHeight="15" x14ac:dyDescent="0.25"/>
  <cols>
    <col min="1" max="1" width="4.5703125" customWidth="1"/>
    <col min="3" max="3" width="14.5703125" bestFit="1" customWidth="1"/>
    <col min="4" max="4" width="2.42578125" customWidth="1"/>
    <col min="7" max="7" width="1.85546875" customWidth="1"/>
    <col min="8" max="8" width="10.7109375" customWidth="1"/>
    <col min="9" max="9" width="17.42578125" customWidth="1"/>
    <col min="10" max="10" width="5.28515625" customWidth="1"/>
    <col min="11" max="11" width="33.42578125" customWidth="1"/>
    <col min="12" max="12" width="34.85546875" customWidth="1"/>
    <col min="13" max="13" width="26" customWidth="1"/>
    <col min="14" max="14" width="23" customWidth="1"/>
    <col min="15" max="15" width="20.42578125" customWidth="1"/>
    <col min="17" max="17" width="15.28515625" customWidth="1"/>
    <col min="18" max="18" width="18.5703125" customWidth="1"/>
    <col min="19" max="19" width="17" customWidth="1"/>
    <col min="20" max="20" width="17.5703125" customWidth="1"/>
    <col min="21" max="21" width="15.7109375" bestFit="1" customWidth="1"/>
    <col min="24" max="24" width="11.85546875" bestFit="1" customWidth="1"/>
    <col min="29" max="31" width="36.140625" bestFit="1" customWidth="1"/>
    <col min="32" max="32" width="24.42578125" customWidth="1"/>
    <col min="33" max="33" width="21.85546875" customWidth="1"/>
    <col min="34" max="34" width="19" customWidth="1"/>
    <col min="38" max="38" width="14.85546875" bestFit="1" customWidth="1"/>
    <col min="39" max="39" width="29.42578125" bestFit="1" customWidth="1"/>
    <col min="40" max="40" width="12" bestFit="1" customWidth="1"/>
    <col min="42" max="43" width="12.5703125" customWidth="1"/>
    <col min="44" max="44" width="12.42578125" customWidth="1"/>
    <col min="58" max="58" width="19.42578125" customWidth="1"/>
  </cols>
  <sheetData>
    <row r="3" spans="2:58" ht="16.5" customHeight="1" x14ac:dyDescent="0.25">
      <c r="B3" s="154" t="s">
        <v>67</v>
      </c>
      <c r="C3" s="155"/>
      <c r="E3" s="154" t="s">
        <v>65</v>
      </c>
      <c r="F3" s="155"/>
      <c r="H3" s="154" t="s">
        <v>64</v>
      </c>
      <c r="I3" s="155"/>
      <c r="K3" s="156" t="s">
        <v>4</v>
      </c>
      <c r="L3" s="159"/>
      <c r="M3" s="160"/>
      <c r="N3" s="160"/>
      <c r="O3" s="161"/>
      <c r="Z3">
        <v>6</v>
      </c>
    </row>
    <row r="4" spans="2:58" ht="30" x14ac:dyDescent="0.25">
      <c r="B4" s="169" t="s">
        <v>2</v>
      </c>
      <c r="C4" s="169" t="s">
        <v>3</v>
      </c>
      <c r="E4" s="168" t="s">
        <v>9</v>
      </c>
      <c r="F4" s="45" t="s">
        <v>62</v>
      </c>
      <c r="G4" s="49"/>
      <c r="H4" s="45" t="s">
        <v>9</v>
      </c>
      <c r="I4" s="45" t="s">
        <v>63</v>
      </c>
      <c r="J4" s="50"/>
      <c r="K4" s="157"/>
      <c r="L4" s="162"/>
      <c r="M4" s="163"/>
      <c r="N4" s="163"/>
      <c r="O4" s="164"/>
    </row>
    <row r="5" spans="2:58" x14ac:dyDescent="0.25">
      <c r="B5" s="170"/>
      <c r="C5" s="170"/>
      <c r="E5" s="168"/>
      <c r="F5" s="45">
        <v>2013</v>
      </c>
      <c r="G5" s="49"/>
      <c r="H5" s="45">
        <v>0</v>
      </c>
      <c r="I5" s="39">
        <v>9.3700000000000001E-4</v>
      </c>
      <c r="K5" s="157"/>
      <c r="L5" s="162"/>
      <c r="M5" s="163"/>
      <c r="N5" s="163"/>
      <c r="O5" s="164"/>
      <c r="AP5" s="171" t="s">
        <v>160</v>
      </c>
      <c r="AQ5" s="172"/>
      <c r="AR5" s="172"/>
      <c r="AS5" s="172"/>
      <c r="AT5" s="172"/>
      <c r="AU5" s="172"/>
      <c r="AV5" s="173"/>
      <c r="AX5" s="171" t="s">
        <v>161</v>
      </c>
      <c r="AY5" s="172"/>
      <c r="AZ5" s="172"/>
      <c r="BA5" s="172"/>
      <c r="BB5" s="172"/>
      <c r="BC5" s="172"/>
      <c r="BD5" s="172"/>
      <c r="BE5" s="172"/>
      <c r="BF5" s="173"/>
    </row>
    <row r="6" spans="2:58" ht="16.5" customHeight="1" x14ac:dyDescent="0.25">
      <c r="B6" s="34">
        <v>0</v>
      </c>
      <c r="C6" s="41">
        <v>4.3300000000000001E-4</v>
      </c>
      <c r="E6" s="45">
        <v>0</v>
      </c>
      <c r="F6" s="37">
        <v>0</v>
      </c>
      <c r="H6" s="45">
        <v>1</v>
      </c>
      <c r="I6" s="40">
        <v>9.3800000000000003E-4</v>
      </c>
      <c r="K6" s="157"/>
      <c r="L6" s="162"/>
      <c r="M6" s="163"/>
      <c r="N6" s="163"/>
      <c r="O6" s="164"/>
      <c r="R6" s="177" t="s">
        <v>98</v>
      </c>
      <c r="S6" s="177"/>
      <c r="T6" s="56">
        <f>SUM(AC6:AH6)+T36</f>
        <v>39128.543721305286</v>
      </c>
      <c r="AB6" s="57" t="s">
        <v>99</v>
      </c>
      <c r="AC6" s="58">
        <f>SUM(AC8:AC25)</f>
        <v>8597.348369627427</v>
      </c>
      <c r="AD6" s="58">
        <f t="shared" ref="AD6:AH6" si="0">SUM(AD8:AD25)</f>
        <v>3264.5766255017293</v>
      </c>
      <c r="AE6" s="58">
        <f t="shared" si="0"/>
        <v>13238.065855907231</v>
      </c>
      <c r="AF6" s="58">
        <f>SUM(AF8:AF25)</f>
        <v>8556.612956371413</v>
      </c>
      <c r="AG6" s="58">
        <f t="shared" si="0"/>
        <v>4218.8112395259341</v>
      </c>
      <c r="AH6" s="58">
        <f t="shared" si="0"/>
        <v>253.12867437155597</v>
      </c>
      <c r="AJ6" s="59" t="s">
        <v>17</v>
      </c>
      <c r="AK6" s="7">
        <f>SUM(AN8:AN15)</f>
        <v>28.544299320306635</v>
      </c>
      <c r="AP6" s="174"/>
      <c r="AQ6" s="175"/>
      <c r="AR6" s="175"/>
      <c r="AS6" s="175"/>
      <c r="AT6" s="175"/>
      <c r="AU6" s="175"/>
      <c r="AV6" s="176"/>
      <c r="AX6" s="174"/>
      <c r="AY6" s="175"/>
      <c r="AZ6" s="175"/>
      <c r="BA6" s="175"/>
      <c r="BB6" s="175"/>
      <c r="BC6" s="175"/>
      <c r="BD6" s="175"/>
      <c r="BE6" s="175"/>
      <c r="BF6" s="176"/>
    </row>
    <row r="7" spans="2:58" ht="20.25" customHeight="1" x14ac:dyDescent="0.4">
      <c r="B7" s="34">
        <v>1</v>
      </c>
      <c r="C7" s="41">
        <v>4.3300000000000001E-4</v>
      </c>
      <c r="E7" s="45">
        <v>1</v>
      </c>
      <c r="F7" s="38">
        <v>0</v>
      </c>
      <c r="H7" s="45">
        <v>2</v>
      </c>
      <c r="I7" s="39">
        <v>9.3800000000000003E-4</v>
      </c>
      <c r="K7" s="158"/>
      <c r="L7" s="165"/>
      <c r="M7" s="166"/>
      <c r="N7" s="166"/>
      <c r="O7" s="167"/>
      <c r="R7" s="15" t="s">
        <v>10</v>
      </c>
      <c r="S7" s="15" t="s">
        <v>20</v>
      </c>
      <c r="T7" s="16" t="s">
        <v>25</v>
      </c>
      <c r="U7" s="15" t="s">
        <v>27</v>
      </c>
      <c r="V7" s="15" t="s">
        <v>21</v>
      </c>
      <c r="W7" s="15" t="s">
        <v>174</v>
      </c>
      <c r="X7" s="15" t="s">
        <v>175</v>
      </c>
      <c r="Y7" s="15" t="s">
        <v>176</v>
      </c>
      <c r="Z7" s="15" t="s">
        <v>177</v>
      </c>
      <c r="AA7" s="15" t="s">
        <v>170</v>
      </c>
      <c r="AB7" s="15" t="s">
        <v>157</v>
      </c>
      <c r="AC7" s="15" t="s">
        <v>70</v>
      </c>
      <c r="AD7" s="15" t="s">
        <v>72</v>
      </c>
      <c r="AE7" s="15" t="s">
        <v>74</v>
      </c>
      <c r="AF7" s="30" t="s">
        <v>38</v>
      </c>
      <c r="AG7" s="30" t="s">
        <v>40</v>
      </c>
      <c r="AH7" s="30" t="s">
        <v>43</v>
      </c>
      <c r="AJ7" s="15" t="s">
        <v>20</v>
      </c>
      <c r="AK7" s="15" t="s">
        <v>31</v>
      </c>
      <c r="AL7" s="15" t="s">
        <v>157</v>
      </c>
      <c r="AM7" s="15" t="s">
        <v>51</v>
      </c>
      <c r="AN7" s="15" t="s">
        <v>26</v>
      </c>
      <c r="AP7" s="111" t="s">
        <v>10</v>
      </c>
      <c r="AQ7" s="111" t="s">
        <v>20</v>
      </c>
      <c r="AR7" s="111" t="s">
        <v>25</v>
      </c>
      <c r="AS7" s="111" t="s">
        <v>167</v>
      </c>
      <c r="AT7" s="111" t="s">
        <v>168</v>
      </c>
      <c r="AU7" s="111" t="s">
        <v>169</v>
      </c>
      <c r="AV7" s="111" t="s">
        <v>170</v>
      </c>
      <c r="AX7" s="111" t="s">
        <v>10</v>
      </c>
      <c r="AY7" s="111" t="s">
        <v>20</v>
      </c>
      <c r="AZ7" s="111" t="s">
        <v>25</v>
      </c>
      <c r="BA7" s="111" t="s">
        <v>166</v>
      </c>
      <c r="BB7" s="111" t="s">
        <v>172</v>
      </c>
      <c r="BC7" s="111" t="s">
        <v>173</v>
      </c>
      <c r="BD7" s="111" t="s">
        <v>171</v>
      </c>
      <c r="BE7" s="111" t="s">
        <v>170</v>
      </c>
      <c r="BF7" s="111" t="s">
        <v>69</v>
      </c>
    </row>
    <row r="8" spans="2:58" ht="16.5" x14ac:dyDescent="0.3">
      <c r="B8" s="34">
        <v>2</v>
      </c>
      <c r="C8" s="41">
        <v>4.3399999999999998E-4</v>
      </c>
      <c r="E8" s="45">
        <v>2</v>
      </c>
      <c r="F8" s="37">
        <v>0</v>
      </c>
      <c r="H8" s="45">
        <v>3</v>
      </c>
      <c r="I8" s="40">
        <v>9.3899999999999995E-4</v>
      </c>
      <c r="K8" s="8"/>
      <c r="L8" s="8"/>
      <c r="M8" s="8"/>
      <c r="N8" s="8"/>
      <c r="O8" s="8"/>
      <c r="R8" s="7">
        <f>$M$11</f>
        <v>32</v>
      </c>
      <c r="S8" s="7">
        <v>0</v>
      </c>
      <c r="T8" s="7">
        <f>R8+S8</f>
        <v>32</v>
      </c>
      <c r="U8" s="7">
        <v>1</v>
      </c>
      <c r="V8" s="44">
        <f>POWER(1+$M$14,-(S8+1))</f>
        <v>0.898876404494382</v>
      </c>
      <c r="W8" s="44">
        <f t="shared" ref="W8:W25" si="1">VLOOKUP(T8,$AZ$7:$BA$25,2,0)</f>
        <v>7.2846896307741005E-4</v>
      </c>
      <c r="X8" s="44">
        <f t="shared" ref="X8:X25" si="2">VLOOKUP(T8,$AZ$7:$BB$25,3,0)</f>
        <v>1.2187413557741E-4</v>
      </c>
      <c r="Y8" s="44">
        <f t="shared" ref="Y8:Y25" si="3">VLOOKUP(T8,$AZ$7:$BC$25,4,0)</f>
        <v>1.3344319970774101E-3</v>
      </c>
      <c r="Z8" s="44">
        <f>SUM(W8:Y8)</f>
        <v>2.1847750957322302E-3</v>
      </c>
      <c r="AA8" s="44">
        <f>1-Z8</f>
        <v>0.99781522490426777</v>
      </c>
      <c r="AB8" s="44">
        <v>1</v>
      </c>
      <c r="AC8" s="58">
        <f>U8*$M$13*V8*AB8*W8</f>
        <v>98.220534347515965</v>
      </c>
      <c r="AD8" s="58">
        <f>U8*$M$13*V8*AB8*X8</f>
        <v>16.432467718302473</v>
      </c>
      <c r="AE8" s="58">
        <f>U8*$M$13*V8*AB8*Y8</f>
        <v>179.92341533628002</v>
      </c>
      <c r="AF8" s="7">
        <f>V8*(1+$M$14)*AB8*Q36</f>
        <v>2500</v>
      </c>
      <c r="AG8" s="7">
        <f t="shared" ref="AG8:AG25" si="4">V8*(1+$M$14)*R36</f>
        <v>500</v>
      </c>
      <c r="AH8" s="7">
        <f t="shared" ref="AH8:AH25" si="5">V8*(1+$M$14)*S36</f>
        <v>30</v>
      </c>
      <c r="AJ8" s="7">
        <v>0</v>
      </c>
      <c r="AK8" s="7">
        <f>V8*(1+$M$20)</f>
        <v>1</v>
      </c>
      <c r="AL8" s="44">
        <f>AB8</f>
        <v>1</v>
      </c>
      <c r="AM8" s="7">
        <v>8</v>
      </c>
      <c r="AN8" s="7">
        <f>AM8*AK8*AL8</f>
        <v>8</v>
      </c>
      <c r="AP8" s="7">
        <f>$M$11</f>
        <v>32</v>
      </c>
      <c r="AQ8" s="7">
        <f>0</f>
        <v>0</v>
      </c>
      <c r="AR8" s="7">
        <f>AP8+AQ8</f>
        <v>32</v>
      </c>
      <c r="AS8" s="44">
        <f>VLOOKUP(AR8,$B:$C,2,0)</f>
        <v>7.2900000000000005E-4</v>
      </c>
      <c r="AT8" s="44">
        <f>VLOOKUP(AR8,$E:$F,2,0)</f>
        <v>1.22E-4</v>
      </c>
      <c r="AU8" s="44">
        <f>VLOOKUP(AR8,$H:$I,2,0)</f>
        <v>1.335E-3</v>
      </c>
      <c r="AV8" s="44">
        <f>(1-AS8)*(1-AT8)*(1-AU8)</f>
        <v>0.99781522490426777</v>
      </c>
      <c r="AX8" s="7">
        <f>AP8</f>
        <v>32</v>
      </c>
      <c r="AY8" s="7">
        <f>AQ8</f>
        <v>0</v>
      </c>
      <c r="AZ8" s="7">
        <f>AX8+AY8</f>
        <v>32</v>
      </c>
      <c r="BA8" s="44">
        <f>AS8*(1-(1/2)*(AT8+AU8)+(1/3)*AT8*AU8)</f>
        <v>7.2846896307741005E-4</v>
      </c>
      <c r="BB8" s="44">
        <f>AT8*(1-(1/2)*(AS8+AU8)+(1/3)*AS8*AU8)</f>
        <v>1.2187413557741E-4</v>
      </c>
      <c r="BC8" s="44">
        <f>AU8*(1-(1/2)*(AS8+AT8)+(1/3)*AS8*AT8)</f>
        <v>1.3344319970774101E-3</v>
      </c>
      <c r="BD8" s="44">
        <f>SUM(BA8:BC8)</f>
        <v>2.1847750957322302E-3</v>
      </c>
      <c r="BE8" s="44">
        <f>1-BD8</f>
        <v>0.99781522490426777</v>
      </c>
      <c r="BF8" s="44">
        <f>BE8-AV8</f>
        <v>0</v>
      </c>
    </row>
    <row r="9" spans="2:58" ht="16.5" x14ac:dyDescent="0.3">
      <c r="B9" s="34">
        <v>3</v>
      </c>
      <c r="C9" s="41">
        <v>4.3399999999999998E-4</v>
      </c>
      <c r="E9" s="45">
        <v>3</v>
      </c>
      <c r="F9" s="38">
        <v>0</v>
      </c>
      <c r="H9" s="45">
        <v>4</v>
      </c>
      <c r="I9" s="39">
        <v>9.41E-4</v>
      </c>
      <c r="M9" s="8"/>
      <c r="N9" s="8"/>
      <c r="R9" s="7">
        <f t="shared" ref="R9:R25" si="6">$M$11</f>
        <v>32</v>
      </c>
      <c r="S9" s="7">
        <v>1</v>
      </c>
      <c r="T9" s="7">
        <f t="shared" ref="T9:T25" si="7">R9+S9</f>
        <v>33</v>
      </c>
      <c r="U9" s="7">
        <f>U8+1</f>
        <v>2</v>
      </c>
      <c r="V9" s="44">
        <f t="shared" ref="V9:V25" si="8">POWER(1+$M$14,-(S9+1))</f>
        <v>0.80797879055674782</v>
      </c>
      <c r="W9" s="44">
        <f t="shared" si="1"/>
        <v>7.5642889217207197E-4</v>
      </c>
      <c r="X9" s="44">
        <f t="shared" si="2"/>
        <v>1.4085023617207201E-4</v>
      </c>
      <c r="Y9" s="44">
        <f t="shared" si="3"/>
        <v>1.367385816672072E-3</v>
      </c>
      <c r="Z9" s="44">
        <f t="shared" ref="Z9:Z25" si="9">SUM(W9:Y9)</f>
        <v>2.2646649450162159E-3</v>
      </c>
      <c r="AA9" s="44">
        <f t="shared" ref="AA9:AA25" si="10">1-Z9</f>
        <v>0.9977353350549838</v>
      </c>
      <c r="AB9" s="44">
        <f>AB8*AA8</f>
        <v>0.99781522490426777</v>
      </c>
      <c r="AC9" s="58">
        <f t="shared" ref="AC9:AC25" si="11">U9*$M$13*V9*AB9*W9</f>
        <v>182.9529641611139</v>
      </c>
      <c r="AD9" s="58">
        <f t="shared" ref="AD9:AD25" si="12">U9*$M$13*V9*AB9*X9</f>
        <v>34.06661019580887</v>
      </c>
      <c r="AE9" s="58">
        <f t="shared" ref="AE9:AE25" si="13">U9*$M$13*V9*AB9*Y9</f>
        <v>330.72148737427278</v>
      </c>
      <c r="AF9" s="7">
        <f>V9*(1+$M$14)*AB9*Q37</f>
        <v>2242.2814042792534</v>
      </c>
      <c r="AG9" s="7">
        <f t="shared" si="4"/>
        <v>449.43820224719099</v>
      </c>
      <c r="AH9" s="7">
        <f t="shared" si="5"/>
        <v>26.966292134831459</v>
      </c>
      <c r="AJ9" s="7">
        <v>1</v>
      </c>
      <c r="AK9" s="7">
        <f t="shared" ref="AK9:AK15" si="14">V9*(1+$M$20)</f>
        <v>0.898876404494382</v>
      </c>
      <c r="AL9" s="44">
        <f t="shared" ref="AL9:AL15" si="15">AB9</f>
        <v>0.99781522490426777</v>
      </c>
      <c r="AM9" s="7">
        <v>7</v>
      </c>
      <c r="AN9" s="7">
        <f t="shared" ref="AN9:AN15" si="16">AM9*AK9*AL9</f>
        <v>6.2783879319819089</v>
      </c>
      <c r="AP9" s="7">
        <f t="shared" ref="AP9:AP25" si="17">$M$11</f>
        <v>32</v>
      </c>
      <c r="AQ9" s="7">
        <f>AQ8+1</f>
        <v>1</v>
      </c>
      <c r="AR9" s="7">
        <f t="shared" ref="AR9:AR25" si="18">AP9+AQ9</f>
        <v>33</v>
      </c>
      <c r="AS9" s="44">
        <f t="shared" ref="AS9:AS25" si="19">VLOOKUP(AR9,$B:$C,2,0)</f>
        <v>7.5699999999999997E-4</v>
      </c>
      <c r="AT9" s="44">
        <f t="shared" ref="AT9:AT25" si="20">VLOOKUP(AR9,$E:$F,2,0)</f>
        <v>1.4100000000000001E-4</v>
      </c>
      <c r="AU9" s="44">
        <f t="shared" ref="AU9:AU25" si="21">VLOOKUP(AR9,$H:$I,2,0)</f>
        <v>1.3680000000000001E-3</v>
      </c>
      <c r="AV9" s="44">
        <f t="shared" ref="AV9:AV25" si="22">(1-AS9)*(1-AT9)*(1-AU9)</f>
        <v>0.9977353350549838</v>
      </c>
      <c r="AX9" s="7">
        <f t="shared" ref="AX9:AY25" si="23">AP9</f>
        <v>32</v>
      </c>
      <c r="AY9" s="7">
        <f t="shared" si="23"/>
        <v>1</v>
      </c>
      <c r="AZ9" s="7">
        <f t="shared" ref="AZ9:AZ25" si="24">AX9+AY9</f>
        <v>33</v>
      </c>
      <c r="BA9" s="44">
        <f t="shared" ref="BA9:BA25" si="25">AS9*(1-(1/2)*(AT9+AU9)+(1/3)*AT9*AU9)</f>
        <v>7.5642889217207197E-4</v>
      </c>
      <c r="BB9" s="44">
        <f t="shared" ref="BB9:BB25" si="26">AT9*(1-(1/2)*(AS9+AU9)+(1/3)*AS9*AU9)</f>
        <v>1.4085023617207201E-4</v>
      </c>
      <c r="BC9" s="44">
        <f t="shared" ref="BC9:BC25" si="27">AU9*(1-(1/2)*(AS9+AT9)+(1/3)*AS9*AT9)</f>
        <v>1.367385816672072E-3</v>
      </c>
      <c r="BD9" s="44">
        <f t="shared" ref="BD9:BD25" si="28">SUM(BA9:BC9)</f>
        <v>2.2646649450162159E-3</v>
      </c>
      <c r="BE9" s="44">
        <f t="shared" ref="BE9:BE25" si="29">1-BD9</f>
        <v>0.9977353350549838</v>
      </c>
      <c r="BF9" s="44">
        <f t="shared" ref="BF9:BF25" si="30">BE9-AV9</f>
        <v>0</v>
      </c>
    </row>
    <row r="10" spans="2:58" ht="16.5" x14ac:dyDescent="0.3">
      <c r="B10" s="34">
        <v>4</v>
      </c>
      <c r="C10" s="41">
        <v>4.35E-4</v>
      </c>
      <c r="E10" s="45">
        <v>4</v>
      </c>
      <c r="F10" s="37">
        <v>0</v>
      </c>
      <c r="H10" s="45">
        <v>5</v>
      </c>
      <c r="I10" s="40">
        <v>9.4300000000000004E-4</v>
      </c>
      <c r="K10" s="182" t="s">
        <v>8</v>
      </c>
      <c r="L10" s="182"/>
      <c r="M10" s="8"/>
      <c r="O10" s="8"/>
      <c r="R10" s="7">
        <f t="shared" si="6"/>
        <v>32</v>
      </c>
      <c r="S10" s="7">
        <v>2</v>
      </c>
      <c r="T10" s="7">
        <f t="shared" si="7"/>
        <v>34</v>
      </c>
      <c r="U10" s="7">
        <f t="shared" ref="U10:U25" si="31">U9+1</f>
        <v>3</v>
      </c>
      <c r="V10" s="44">
        <f t="shared" si="8"/>
        <v>0.72627307016336884</v>
      </c>
      <c r="W10" s="44">
        <f t="shared" si="1"/>
        <v>7.8738344970045592E-4</v>
      </c>
      <c r="X10" s="44">
        <f t="shared" si="2"/>
        <v>1.61822588700456E-4</v>
      </c>
      <c r="Y10" s="44">
        <f t="shared" si="3"/>
        <v>1.402333634700456E-3</v>
      </c>
      <c r="Z10" s="44">
        <f t="shared" si="9"/>
        <v>2.3515396731013678E-3</v>
      </c>
      <c r="AA10" s="44">
        <f t="shared" si="10"/>
        <v>0.99764846032689858</v>
      </c>
      <c r="AB10" s="44">
        <f t="shared" ref="AB10:AB25" si="32">AB9*AA9</f>
        <v>0.99555550774282364</v>
      </c>
      <c r="AC10" s="58">
        <f t="shared" si="11"/>
        <v>256.19120483969311</v>
      </c>
      <c r="AD10" s="58">
        <f t="shared" si="12"/>
        <v>52.652267437446916</v>
      </c>
      <c r="AE10" s="58">
        <f t="shared" si="13"/>
        <v>456.27774319845207</v>
      </c>
      <c r="AF10" s="7">
        <f>V10*(1+$M$14)*AB10*Q38</f>
        <v>2010.9693376953892</v>
      </c>
      <c r="AG10" s="7">
        <f t="shared" si="4"/>
        <v>403.98939527837393</v>
      </c>
      <c r="AH10" s="7">
        <f t="shared" si="5"/>
        <v>24.239363716702435</v>
      </c>
      <c r="AJ10" s="7">
        <v>2</v>
      </c>
      <c r="AK10" s="7">
        <f t="shared" si="14"/>
        <v>0.80797879055674782</v>
      </c>
      <c r="AL10" s="44">
        <f t="shared" si="15"/>
        <v>0.99555550774282364</v>
      </c>
      <c r="AM10" s="7">
        <v>6</v>
      </c>
      <c r="AN10" s="7">
        <f t="shared" si="16"/>
        <v>4.8263264104689334</v>
      </c>
      <c r="AP10" s="7">
        <f t="shared" si="17"/>
        <v>32</v>
      </c>
      <c r="AQ10" s="7">
        <f t="shared" ref="AQ10:AQ25" si="33">AQ9+1</f>
        <v>2</v>
      </c>
      <c r="AR10" s="7">
        <f t="shared" si="18"/>
        <v>34</v>
      </c>
      <c r="AS10" s="44">
        <f t="shared" si="19"/>
        <v>7.8799999999999996E-4</v>
      </c>
      <c r="AT10" s="44">
        <f t="shared" si="20"/>
        <v>1.6200000000000001E-4</v>
      </c>
      <c r="AU10" s="44">
        <f t="shared" si="21"/>
        <v>1.403E-3</v>
      </c>
      <c r="AV10" s="44">
        <f t="shared" si="22"/>
        <v>0.99764846032689858</v>
      </c>
      <c r="AX10" s="7">
        <f t="shared" si="23"/>
        <v>32</v>
      </c>
      <c r="AY10" s="7">
        <f t="shared" si="23"/>
        <v>2</v>
      </c>
      <c r="AZ10" s="7">
        <f t="shared" si="24"/>
        <v>34</v>
      </c>
      <c r="BA10" s="44">
        <f t="shared" si="25"/>
        <v>7.8738344970045592E-4</v>
      </c>
      <c r="BB10" s="44">
        <f t="shared" si="26"/>
        <v>1.61822588700456E-4</v>
      </c>
      <c r="BC10" s="44">
        <f t="shared" si="27"/>
        <v>1.402333634700456E-3</v>
      </c>
      <c r="BD10" s="44">
        <f t="shared" si="28"/>
        <v>2.3515396731013678E-3</v>
      </c>
      <c r="BE10" s="44">
        <f t="shared" si="29"/>
        <v>0.99764846032689858</v>
      </c>
      <c r="BF10" s="44">
        <f t="shared" si="30"/>
        <v>0</v>
      </c>
    </row>
    <row r="11" spans="2:58" ht="16.5" x14ac:dyDescent="0.3">
      <c r="B11" s="34">
        <v>5</v>
      </c>
      <c r="C11" s="41">
        <v>4.3600000000000003E-4</v>
      </c>
      <c r="E11" s="45">
        <v>5</v>
      </c>
      <c r="F11" s="38">
        <v>0</v>
      </c>
      <c r="H11" s="45">
        <v>6</v>
      </c>
      <c r="I11" s="39">
        <v>9.4600000000000001E-4</v>
      </c>
      <c r="K11" s="9" t="s">
        <v>9</v>
      </c>
      <c r="L11" s="10" t="s">
        <v>10</v>
      </c>
      <c r="M11" s="11">
        <v>32</v>
      </c>
      <c r="N11" s="8"/>
      <c r="R11" s="7">
        <f t="shared" si="6"/>
        <v>32</v>
      </c>
      <c r="S11" s="7">
        <v>3</v>
      </c>
      <c r="T11" s="7">
        <f t="shared" si="7"/>
        <v>35</v>
      </c>
      <c r="U11" s="7">
        <f t="shared" si="31"/>
        <v>4</v>
      </c>
      <c r="V11" s="44">
        <f t="shared" si="8"/>
        <v>0.65282972598954492</v>
      </c>
      <c r="W11" s="44">
        <f t="shared" si="1"/>
        <v>8.2033301040479998E-4</v>
      </c>
      <c r="X11" s="44">
        <f t="shared" si="2"/>
        <v>1.8479093040479999E-4</v>
      </c>
      <c r="Y11" s="44">
        <f t="shared" si="3"/>
        <v>1.4392757529048E-3</v>
      </c>
      <c r="Z11" s="44">
        <f t="shared" si="9"/>
        <v>2.4443996937144E-3</v>
      </c>
      <c r="AA11" s="44">
        <f t="shared" si="10"/>
        <v>0.99755560030628565</v>
      </c>
      <c r="AB11" s="44">
        <f t="shared" si="32"/>
        <v>0.99321441946959177</v>
      </c>
      <c r="AC11" s="58">
        <f t="shared" si="11"/>
        <v>319.14230382447516</v>
      </c>
      <c r="AD11" s="58">
        <f t="shared" si="12"/>
        <v>71.891052179107888</v>
      </c>
      <c r="AE11" s="58">
        <f t="shared" si="13"/>
        <v>559.93575023158212</v>
      </c>
      <c r="AF11" s="7">
        <f>V11*(1+$M$14)*AB11*Q39</f>
        <v>1803.3622143967709</v>
      </c>
      <c r="AG11" s="7">
        <f t="shared" si="4"/>
        <v>363.13653508168437</v>
      </c>
      <c r="AH11" s="7">
        <f t="shared" si="5"/>
        <v>21.788192104901061</v>
      </c>
      <c r="AJ11" s="7">
        <v>3</v>
      </c>
      <c r="AK11" s="7">
        <f t="shared" si="14"/>
        <v>0.72627307016336873</v>
      </c>
      <c r="AL11" s="44">
        <f t="shared" si="15"/>
        <v>0.99321441946959177</v>
      </c>
      <c r="AM11" s="7">
        <v>5</v>
      </c>
      <c r="AN11" s="7">
        <f t="shared" si="16"/>
        <v>3.6067244287935418</v>
      </c>
      <c r="AP11" s="7">
        <f t="shared" si="17"/>
        <v>32</v>
      </c>
      <c r="AQ11" s="7">
        <f t="shared" si="33"/>
        <v>3</v>
      </c>
      <c r="AR11" s="7">
        <f t="shared" si="18"/>
        <v>35</v>
      </c>
      <c r="AS11" s="44">
        <f t="shared" si="19"/>
        <v>8.2100000000000001E-4</v>
      </c>
      <c r="AT11" s="44">
        <f t="shared" si="20"/>
        <v>1.85E-4</v>
      </c>
      <c r="AU11" s="44">
        <f t="shared" si="21"/>
        <v>1.4400000000000001E-3</v>
      </c>
      <c r="AV11" s="44">
        <f t="shared" si="22"/>
        <v>0.99755560030628565</v>
      </c>
      <c r="AX11" s="7">
        <f t="shared" si="23"/>
        <v>32</v>
      </c>
      <c r="AY11" s="7">
        <f t="shared" si="23"/>
        <v>3</v>
      </c>
      <c r="AZ11" s="7">
        <f t="shared" si="24"/>
        <v>35</v>
      </c>
      <c r="BA11" s="44">
        <f t="shared" si="25"/>
        <v>8.2033301040479998E-4</v>
      </c>
      <c r="BB11" s="44">
        <f t="shared" si="26"/>
        <v>1.8479093040479999E-4</v>
      </c>
      <c r="BC11" s="44">
        <f t="shared" si="27"/>
        <v>1.4392757529048E-3</v>
      </c>
      <c r="BD11" s="44">
        <f t="shared" si="28"/>
        <v>2.4443996937144E-3</v>
      </c>
      <c r="BE11" s="44">
        <f t="shared" si="29"/>
        <v>0.99755560030628565</v>
      </c>
      <c r="BF11" s="44">
        <f t="shared" si="30"/>
        <v>0</v>
      </c>
    </row>
    <row r="12" spans="2:58" ht="16.5" x14ac:dyDescent="0.3">
      <c r="B12" s="34">
        <v>6</v>
      </c>
      <c r="C12" s="41">
        <v>4.3800000000000002E-4</v>
      </c>
      <c r="E12" s="45">
        <v>6</v>
      </c>
      <c r="F12" s="37">
        <v>0</v>
      </c>
      <c r="H12" s="45">
        <v>7</v>
      </c>
      <c r="I12" s="40">
        <v>9.5E-4</v>
      </c>
      <c r="K12" s="9" t="s">
        <v>11</v>
      </c>
      <c r="L12" s="10" t="s">
        <v>12</v>
      </c>
      <c r="M12" s="11">
        <v>18</v>
      </c>
      <c r="N12" s="8"/>
      <c r="R12" s="7">
        <f t="shared" si="6"/>
        <v>32</v>
      </c>
      <c r="S12" s="7">
        <v>4</v>
      </c>
      <c r="T12" s="7">
        <f t="shared" si="7"/>
        <v>36</v>
      </c>
      <c r="U12" s="7">
        <f t="shared" si="31"/>
        <v>5</v>
      </c>
      <c r="V12" s="44">
        <f t="shared" si="8"/>
        <v>0.58681323684453479</v>
      </c>
      <c r="W12" s="44">
        <f t="shared" si="1"/>
        <v>8.5627549570798658E-4</v>
      </c>
      <c r="X12" s="44">
        <f t="shared" si="2"/>
        <v>2.1075353570798667E-4</v>
      </c>
      <c r="Y12" s="44">
        <f t="shared" si="3"/>
        <v>1.4792097692079866E-3</v>
      </c>
      <c r="Z12" s="44">
        <f t="shared" si="9"/>
        <v>2.5462388006239596E-3</v>
      </c>
      <c r="AA12" s="44">
        <f t="shared" si="10"/>
        <v>0.99745376119937601</v>
      </c>
      <c r="AB12" s="44">
        <f t="shared" si="32"/>
        <v>0.99078660644684757</v>
      </c>
      <c r="AC12" s="58">
        <f t="shared" si="11"/>
        <v>373.38322983084043</v>
      </c>
      <c r="AD12" s="58">
        <f t="shared" si="12"/>
        <v>91.900137578797995</v>
      </c>
      <c r="AE12" s="58">
        <f t="shared" si="13"/>
        <v>645.01684795679785</v>
      </c>
      <c r="AF12" s="60" t="s">
        <v>102</v>
      </c>
      <c r="AG12" s="7">
        <f t="shared" si="4"/>
        <v>326.41486299477253</v>
      </c>
      <c r="AH12" s="7">
        <f t="shared" si="5"/>
        <v>19.584891779686352</v>
      </c>
      <c r="AJ12" s="7">
        <v>4</v>
      </c>
      <c r="AK12" s="7">
        <f t="shared" si="14"/>
        <v>0.65282972598954503</v>
      </c>
      <c r="AL12" s="44">
        <f t="shared" si="15"/>
        <v>0.99078660644684757</v>
      </c>
      <c r="AM12" s="7">
        <v>4</v>
      </c>
      <c r="AN12" s="7">
        <f t="shared" si="16"/>
        <v>2.5872597952032268</v>
      </c>
      <c r="AP12" s="7">
        <f t="shared" si="17"/>
        <v>32</v>
      </c>
      <c r="AQ12" s="7">
        <f t="shared" si="33"/>
        <v>4</v>
      </c>
      <c r="AR12" s="7">
        <f t="shared" si="18"/>
        <v>36</v>
      </c>
      <c r="AS12" s="44">
        <f t="shared" si="19"/>
        <v>8.5700000000000001E-4</v>
      </c>
      <c r="AT12" s="44">
        <f t="shared" si="20"/>
        <v>2.1100000000000001E-4</v>
      </c>
      <c r="AU12" s="44">
        <f t="shared" si="21"/>
        <v>1.48E-3</v>
      </c>
      <c r="AV12" s="44">
        <f t="shared" si="22"/>
        <v>0.99745376119937612</v>
      </c>
      <c r="AX12" s="7">
        <f t="shared" si="23"/>
        <v>32</v>
      </c>
      <c r="AY12" s="7">
        <f t="shared" si="23"/>
        <v>4</v>
      </c>
      <c r="AZ12" s="7">
        <f t="shared" si="24"/>
        <v>36</v>
      </c>
      <c r="BA12" s="44">
        <f t="shared" si="25"/>
        <v>8.5627549570798658E-4</v>
      </c>
      <c r="BB12" s="44">
        <f t="shared" si="26"/>
        <v>2.1075353570798667E-4</v>
      </c>
      <c r="BC12" s="44">
        <f t="shared" si="27"/>
        <v>1.4792097692079866E-3</v>
      </c>
      <c r="BD12" s="44">
        <f t="shared" si="28"/>
        <v>2.5462388006239596E-3</v>
      </c>
      <c r="BE12" s="44">
        <f t="shared" si="29"/>
        <v>0.99745376119937601</v>
      </c>
      <c r="BF12" s="44">
        <f t="shared" si="30"/>
        <v>0</v>
      </c>
    </row>
    <row r="13" spans="2:58" ht="16.5" x14ac:dyDescent="0.3">
      <c r="B13" s="34">
        <v>7</v>
      </c>
      <c r="C13" s="41">
        <v>4.4000000000000002E-4</v>
      </c>
      <c r="E13" s="45">
        <v>7</v>
      </c>
      <c r="F13" s="38">
        <v>0</v>
      </c>
      <c r="H13" s="45">
        <v>8</v>
      </c>
      <c r="I13" s="39">
        <v>9.5399999999999999E-4</v>
      </c>
      <c r="K13" s="9" t="s">
        <v>91</v>
      </c>
      <c r="L13" s="10" t="s">
        <v>14</v>
      </c>
      <c r="M13" s="12">
        <v>150000</v>
      </c>
      <c r="R13" s="7">
        <f t="shared" si="6"/>
        <v>32</v>
      </c>
      <c r="S13" s="7">
        <v>5</v>
      </c>
      <c r="T13" s="7">
        <f t="shared" si="7"/>
        <v>37</v>
      </c>
      <c r="U13" s="7">
        <f t="shared" si="31"/>
        <v>6</v>
      </c>
      <c r="V13" s="44">
        <f t="shared" si="8"/>
        <v>0.52747257244452561</v>
      </c>
      <c r="W13" s="44">
        <f t="shared" si="1"/>
        <v>8.9521073309695989E-4</v>
      </c>
      <c r="X13" s="44">
        <f t="shared" si="2"/>
        <v>2.3970994909695999E-4</v>
      </c>
      <c r="Y13" s="44">
        <f t="shared" si="3"/>
        <v>1.52113561309696E-3</v>
      </c>
      <c r="Z13" s="44">
        <f t="shared" si="9"/>
        <v>2.6560562952908798E-3</v>
      </c>
      <c r="AA13" s="44">
        <f t="shared" si="10"/>
        <v>0.99734394370470913</v>
      </c>
      <c r="AB13" s="44">
        <f t="shared" si="32"/>
        <v>0.98826382714637406</v>
      </c>
      <c r="AC13" s="58">
        <f t="shared" si="11"/>
        <v>419.99156811959239</v>
      </c>
      <c r="AD13" s="58">
        <f t="shared" si="12"/>
        <v>112.46084714245232</v>
      </c>
      <c r="AE13" s="58">
        <f t="shared" si="13"/>
        <v>713.64663966551734</v>
      </c>
      <c r="AF13" s="60" t="s">
        <v>102</v>
      </c>
      <c r="AG13" s="7">
        <f t="shared" si="4"/>
        <v>293.4066184222674</v>
      </c>
      <c r="AH13" s="7">
        <f t="shared" si="5"/>
        <v>17.604397105336044</v>
      </c>
      <c r="AJ13" s="7">
        <v>5</v>
      </c>
      <c r="AK13" s="7">
        <f t="shared" si="14"/>
        <v>0.58681323684453479</v>
      </c>
      <c r="AL13" s="44">
        <f t="shared" si="15"/>
        <v>0.98826382714637406</v>
      </c>
      <c r="AM13" s="7">
        <v>3</v>
      </c>
      <c r="AN13" s="7">
        <f t="shared" si="16"/>
        <v>1.7397788857923946</v>
      </c>
      <c r="AP13" s="7">
        <f t="shared" si="17"/>
        <v>32</v>
      </c>
      <c r="AQ13" s="7">
        <f t="shared" si="33"/>
        <v>5</v>
      </c>
      <c r="AR13" s="7">
        <f t="shared" si="18"/>
        <v>37</v>
      </c>
      <c r="AS13" s="44">
        <f t="shared" si="19"/>
        <v>8.9599999999999999E-4</v>
      </c>
      <c r="AT13" s="44">
        <f t="shared" si="20"/>
        <v>2.4000000000000001E-4</v>
      </c>
      <c r="AU13" s="44">
        <f t="shared" si="21"/>
        <v>1.5219999999999999E-3</v>
      </c>
      <c r="AV13" s="44">
        <f t="shared" si="22"/>
        <v>0.99734394370470913</v>
      </c>
      <c r="AX13" s="7">
        <f t="shared" si="23"/>
        <v>32</v>
      </c>
      <c r="AY13" s="7">
        <f t="shared" si="23"/>
        <v>5</v>
      </c>
      <c r="AZ13" s="7">
        <f t="shared" si="24"/>
        <v>37</v>
      </c>
      <c r="BA13" s="44">
        <f t="shared" si="25"/>
        <v>8.9521073309695989E-4</v>
      </c>
      <c r="BB13" s="44">
        <f t="shared" si="26"/>
        <v>2.3970994909695999E-4</v>
      </c>
      <c r="BC13" s="44">
        <f t="shared" si="27"/>
        <v>1.52113561309696E-3</v>
      </c>
      <c r="BD13" s="44">
        <f t="shared" si="28"/>
        <v>2.6560562952908798E-3</v>
      </c>
      <c r="BE13" s="44">
        <f t="shared" si="29"/>
        <v>0.99734394370470913</v>
      </c>
      <c r="BF13" s="44">
        <f t="shared" si="30"/>
        <v>0</v>
      </c>
    </row>
    <row r="14" spans="2:58" ht="16.5" x14ac:dyDescent="0.3">
      <c r="B14" s="34">
        <v>8</v>
      </c>
      <c r="C14" s="41">
        <v>4.4299999999999998E-4</v>
      </c>
      <c r="E14" s="45">
        <v>8</v>
      </c>
      <c r="F14" s="37">
        <v>0</v>
      </c>
      <c r="H14" s="45">
        <v>9</v>
      </c>
      <c r="I14" s="40">
        <v>9.59E-4</v>
      </c>
      <c r="K14" s="9" t="s">
        <v>92</v>
      </c>
      <c r="L14" s="51" t="s">
        <v>93</v>
      </c>
      <c r="M14" s="52">
        <v>0.1125</v>
      </c>
      <c r="R14" s="7">
        <f t="shared" si="6"/>
        <v>32</v>
      </c>
      <c r="S14" s="7">
        <v>6</v>
      </c>
      <c r="T14" s="7">
        <f t="shared" si="7"/>
        <v>38</v>
      </c>
      <c r="U14" s="7">
        <f t="shared" si="31"/>
        <v>7</v>
      </c>
      <c r="V14" s="44">
        <f t="shared" si="8"/>
        <v>0.4741326493883376</v>
      </c>
      <c r="W14" s="44">
        <f t="shared" si="1"/>
        <v>9.3713764226603744E-4</v>
      </c>
      <c r="X14" s="44">
        <f t="shared" si="2"/>
        <v>2.7165945326603733E-4</v>
      </c>
      <c r="Y14" s="44">
        <f t="shared" si="3"/>
        <v>1.5660520982660375E-3</v>
      </c>
      <c r="Z14" s="44">
        <f t="shared" si="9"/>
        <v>2.7748491937981123E-3</v>
      </c>
      <c r="AA14" s="44">
        <f t="shared" si="10"/>
        <v>0.99722515080620189</v>
      </c>
      <c r="AB14" s="44">
        <f t="shared" si="32"/>
        <v>0.9856389427868737</v>
      </c>
      <c r="AC14" s="58">
        <f t="shared" si="11"/>
        <v>459.84386674454134</v>
      </c>
      <c r="AD14" s="58">
        <f t="shared" si="12"/>
        <v>133.30051829472848</v>
      </c>
      <c r="AE14" s="58">
        <f t="shared" si="13"/>
        <v>768.44576496653178</v>
      </c>
      <c r="AF14" s="60" t="s">
        <v>102</v>
      </c>
      <c r="AG14" s="7">
        <f t="shared" si="4"/>
        <v>263.73628622226283</v>
      </c>
      <c r="AH14" s="7">
        <f t="shared" si="5"/>
        <v>15.824177173335768</v>
      </c>
      <c r="AJ14" s="7">
        <v>6</v>
      </c>
      <c r="AK14" s="7">
        <f t="shared" si="14"/>
        <v>0.52747257244452561</v>
      </c>
      <c r="AL14" s="44">
        <f t="shared" si="15"/>
        <v>0.9856389427868737</v>
      </c>
      <c r="AM14" s="7">
        <v>2</v>
      </c>
      <c r="AN14" s="7">
        <f t="shared" si="16"/>
        <v>1.0397950173065897</v>
      </c>
      <c r="AP14" s="7">
        <f t="shared" si="17"/>
        <v>32</v>
      </c>
      <c r="AQ14" s="7">
        <f t="shared" si="33"/>
        <v>6</v>
      </c>
      <c r="AR14" s="7">
        <f t="shared" si="18"/>
        <v>38</v>
      </c>
      <c r="AS14" s="44">
        <f t="shared" si="19"/>
        <v>9.3800000000000003E-4</v>
      </c>
      <c r="AT14" s="44">
        <f t="shared" si="20"/>
        <v>2.72E-4</v>
      </c>
      <c r="AU14" s="44">
        <f t="shared" si="21"/>
        <v>1.567E-3</v>
      </c>
      <c r="AV14" s="44">
        <f t="shared" si="22"/>
        <v>0.99722515080620189</v>
      </c>
      <c r="AX14" s="7">
        <f t="shared" si="23"/>
        <v>32</v>
      </c>
      <c r="AY14" s="7">
        <f t="shared" si="23"/>
        <v>6</v>
      </c>
      <c r="AZ14" s="7">
        <f t="shared" si="24"/>
        <v>38</v>
      </c>
      <c r="BA14" s="44">
        <f t="shared" si="25"/>
        <v>9.3713764226603744E-4</v>
      </c>
      <c r="BB14" s="44">
        <f t="shared" si="26"/>
        <v>2.7165945326603733E-4</v>
      </c>
      <c r="BC14" s="44">
        <f t="shared" si="27"/>
        <v>1.5660520982660375E-3</v>
      </c>
      <c r="BD14" s="44">
        <f t="shared" si="28"/>
        <v>2.7748491937981123E-3</v>
      </c>
      <c r="BE14" s="44">
        <f t="shared" si="29"/>
        <v>0.99722515080620189</v>
      </c>
      <c r="BF14" s="44">
        <f t="shared" si="30"/>
        <v>0</v>
      </c>
    </row>
    <row r="15" spans="2:58" x14ac:dyDescent="0.25">
      <c r="B15" s="34">
        <v>9</v>
      </c>
      <c r="C15" s="41">
        <v>4.46E-4</v>
      </c>
      <c r="E15" s="45">
        <v>9</v>
      </c>
      <c r="F15" s="38">
        <v>0</v>
      </c>
      <c r="H15" s="45">
        <v>10</v>
      </c>
      <c r="I15" s="39">
        <v>9.6400000000000001E-4</v>
      </c>
      <c r="R15" s="7">
        <f t="shared" si="6"/>
        <v>32</v>
      </c>
      <c r="S15" s="7">
        <v>7</v>
      </c>
      <c r="T15" s="7">
        <f t="shared" si="7"/>
        <v>39</v>
      </c>
      <c r="U15" s="7">
        <f t="shared" si="31"/>
        <v>8</v>
      </c>
      <c r="V15" s="44">
        <f t="shared" si="8"/>
        <v>0.42618665113558429</v>
      </c>
      <c r="W15" s="44">
        <f t="shared" si="1"/>
        <v>9.8205648182932408E-4</v>
      </c>
      <c r="X15" s="44">
        <f t="shared" si="2"/>
        <v>3.0560282082932403E-4</v>
      </c>
      <c r="Y15" s="44">
        <f t="shared" si="3"/>
        <v>1.6129599388293239E-3</v>
      </c>
      <c r="Z15" s="44">
        <f t="shared" si="9"/>
        <v>2.9006192414879721E-3</v>
      </c>
      <c r="AA15" s="44">
        <f t="shared" si="10"/>
        <v>0.99709938075851201</v>
      </c>
      <c r="AB15" s="44">
        <f t="shared" si="32"/>
        <v>0.98290394336110554</v>
      </c>
      <c r="AC15" s="58">
        <f t="shared" si="11"/>
        <v>493.66078866920594</v>
      </c>
      <c r="AD15" s="58">
        <f t="shared" si="12"/>
        <v>153.62062400842387</v>
      </c>
      <c r="AE15" s="58">
        <f t="shared" si="13"/>
        <v>810.80374726624211</v>
      </c>
      <c r="AF15" s="60" t="s">
        <v>102</v>
      </c>
      <c r="AG15" s="7">
        <f t="shared" si="4"/>
        <v>237.06632469416877</v>
      </c>
      <c r="AH15" s="7">
        <f t="shared" si="5"/>
        <v>14.223979481650126</v>
      </c>
      <c r="AJ15" s="7">
        <v>7</v>
      </c>
      <c r="AK15" s="7">
        <f t="shared" si="14"/>
        <v>0.47413264938833755</v>
      </c>
      <c r="AL15" s="44">
        <f t="shared" si="15"/>
        <v>0.98290394336110554</v>
      </c>
      <c r="AM15" s="7">
        <v>1</v>
      </c>
      <c r="AN15" s="7">
        <f t="shared" si="16"/>
        <v>0.46602685076004546</v>
      </c>
      <c r="AP15" s="7">
        <f t="shared" si="17"/>
        <v>32</v>
      </c>
      <c r="AQ15" s="7">
        <f t="shared" si="33"/>
        <v>7</v>
      </c>
      <c r="AR15" s="7">
        <f t="shared" si="18"/>
        <v>39</v>
      </c>
      <c r="AS15" s="44">
        <f t="shared" si="19"/>
        <v>9.8299999999999993E-4</v>
      </c>
      <c r="AT15" s="44">
        <f t="shared" si="20"/>
        <v>3.0600000000000001E-4</v>
      </c>
      <c r="AU15" s="44">
        <f t="shared" si="21"/>
        <v>1.614E-3</v>
      </c>
      <c r="AV15" s="44">
        <f t="shared" si="22"/>
        <v>0.99709938075851201</v>
      </c>
      <c r="AX15" s="7">
        <f t="shared" si="23"/>
        <v>32</v>
      </c>
      <c r="AY15" s="7">
        <f t="shared" si="23"/>
        <v>7</v>
      </c>
      <c r="AZ15" s="7">
        <f t="shared" si="24"/>
        <v>39</v>
      </c>
      <c r="BA15" s="44">
        <f t="shared" si="25"/>
        <v>9.8205648182932408E-4</v>
      </c>
      <c r="BB15" s="44">
        <f t="shared" si="26"/>
        <v>3.0560282082932403E-4</v>
      </c>
      <c r="BC15" s="44">
        <f t="shared" si="27"/>
        <v>1.6129599388293239E-3</v>
      </c>
      <c r="BD15" s="44">
        <f t="shared" si="28"/>
        <v>2.9006192414879721E-3</v>
      </c>
      <c r="BE15" s="44">
        <f t="shared" si="29"/>
        <v>0.99709938075851201</v>
      </c>
      <c r="BF15" s="44">
        <f t="shared" si="30"/>
        <v>0</v>
      </c>
    </row>
    <row r="16" spans="2:58" x14ac:dyDescent="0.25">
      <c r="B16" s="34">
        <v>10</v>
      </c>
      <c r="C16" s="41">
        <v>4.4900000000000002E-4</v>
      </c>
      <c r="E16" s="45">
        <v>10</v>
      </c>
      <c r="F16" s="37">
        <v>9.9999999999999995E-7</v>
      </c>
      <c r="H16" s="45">
        <v>11</v>
      </c>
      <c r="I16" s="40">
        <v>9.7000000000000005E-4</v>
      </c>
      <c r="R16" s="7">
        <f t="shared" si="6"/>
        <v>32</v>
      </c>
      <c r="S16" s="7">
        <v>8</v>
      </c>
      <c r="T16" s="7">
        <f t="shared" si="7"/>
        <v>40</v>
      </c>
      <c r="U16" s="7">
        <f t="shared" si="31"/>
        <v>9</v>
      </c>
      <c r="V16" s="44">
        <f t="shared" si="8"/>
        <v>0.38308912461625555</v>
      </c>
      <c r="W16" s="44">
        <f t="shared" si="1"/>
        <v>1.03196254917488E-3</v>
      </c>
      <c r="X16" s="44">
        <f t="shared" si="2"/>
        <v>3.4453496517487998E-4</v>
      </c>
      <c r="Y16" s="44">
        <f t="shared" si="3"/>
        <v>1.6628537016748798E-3</v>
      </c>
      <c r="Z16" s="44">
        <f t="shared" si="9"/>
        <v>3.03935121602464E-3</v>
      </c>
      <c r="AA16" s="44">
        <f t="shared" si="10"/>
        <v>0.99696064878397539</v>
      </c>
      <c r="AB16" s="44">
        <f t="shared" si="32"/>
        <v>0.98005291327045785</v>
      </c>
      <c r="AC16" s="58">
        <f t="shared" si="11"/>
        <v>523.05463179462402</v>
      </c>
      <c r="AD16" s="58">
        <f t="shared" si="12"/>
        <v>174.62902068879376</v>
      </c>
      <c r="AE16" s="58">
        <f t="shared" si="13"/>
        <v>842.82451078608733</v>
      </c>
      <c r="AF16" s="60" t="s">
        <v>102</v>
      </c>
      <c r="AG16" s="7">
        <f t="shared" si="4"/>
        <v>213.09332556779214</v>
      </c>
      <c r="AH16" s="7">
        <f t="shared" si="5"/>
        <v>12.785599534067529</v>
      </c>
      <c r="AP16" s="7">
        <f t="shared" si="17"/>
        <v>32</v>
      </c>
      <c r="AQ16" s="7">
        <f t="shared" si="33"/>
        <v>8</v>
      </c>
      <c r="AR16" s="7">
        <f t="shared" si="18"/>
        <v>40</v>
      </c>
      <c r="AS16" s="44">
        <f t="shared" si="19"/>
        <v>1.0330000000000001E-3</v>
      </c>
      <c r="AT16" s="44">
        <f t="shared" si="20"/>
        <v>3.4499999999999998E-4</v>
      </c>
      <c r="AU16" s="44">
        <f t="shared" si="21"/>
        <v>1.6639999999999999E-3</v>
      </c>
      <c r="AV16" s="44">
        <f t="shared" si="22"/>
        <v>0.99696064878397528</v>
      </c>
      <c r="AX16" s="7">
        <f t="shared" si="23"/>
        <v>32</v>
      </c>
      <c r="AY16" s="7">
        <f t="shared" si="23"/>
        <v>8</v>
      </c>
      <c r="AZ16" s="7">
        <f t="shared" si="24"/>
        <v>40</v>
      </c>
      <c r="BA16" s="44">
        <f t="shared" si="25"/>
        <v>1.03196254917488E-3</v>
      </c>
      <c r="BB16" s="44">
        <f t="shared" si="26"/>
        <v>3.4453496517487998E-4</v>
      </c>
      <c r="BC16" s="44">
        <f t="shared" si="27"/>
        <v>1.6628537016748798E-3</v>
      </c>
      <c r="BD16" s="44">
        <f t="shared" si="28"/>
        <v>3.03935121602464E-3</v>
      </c>
      <c r="BE16" s="44">
        <f t="shared" si="29"/>
        <v>0.99696064878397539</v>
      </c>
      <c r="BF16" s="44">
        <f t="shared" si="30"/>
        <v>0</v>
      </c>
    </row>
    <row r="17" spans="2:58" ht="16.5" x14ac:dyDescent="0.3">
      <c r="B17" s="34">
        <v>11</v>
      </c>
      <c r="C17" s="41">
        <v>4.5300000000000001E-4</v>
      </c>
      <c r="E17" s="45">
        <v>11</v>
      </c>
      <c r="F17" s="38">
        <v>9.9999999999999995E-7</v>
      </c>
      <c r="H17" s="45">
        <v>12</v>
      </c>
      <c r="I17" s="39">
        <v>9.77E-4</v>
      </c>
      <c r="K17" s="178" t="s">
        <v>94</v>
      </c>
      <c r="L17" s="179"/>
      <c r="R17" s="7">
        <f t="shared" si="6"/>
        <v>32</v>
      </c>
      <c r="S17" s="7">
        <v>9</v>
      </c>
      <c r="T17" s="7">
        <f t="shared" si="7"/>
        <v>41</v>
      </c>
      <c r="U17" s="7">
        <f t="shared" si="31"/>
        <v>10</v>
      </c>
      <c r="V17" s="44">
        <f t="shared" si="8"/>
        <v>0.34434977493595997</v>
      </c>
      <c r="W17" s="44">
        <f t="shared" si="1"/>
        <v>1.085856173403114E-3</v>
      </c>
      <c r="X17" s="44">
        <f t="shared" si="2"/>
        <v>3.8645747340311395E-4</v>
      </c>
      <c r="Y17" s="44">
        <f t="shared" si="3"/>
        <v>1.716734074903114E-3</v>
      </c>
      <c r="Z17" s="44">
        <f t="shared" si="9"/>
        <v>3.189047721709342E-3</v>
      </c>
      <c r="AA17" s="44">
        <f t="shared" si="10"/>
        <v>0.99681095227829064</v>
      </c>
      <c r="AB17" s="44">
        <f t="shared" si="32"/>
        <v>0.97707418825674086</v>
      </c>
      <c r="AC17" s="58">
        <f t="shared" si="11"/>
        <v>548.01305911674308</v>
      </c>
      <c r="AD17" s="58">
        <f t="shared" si="12"/>
        <v>195.03848429063092</v>
      </c>
      <c r="AE17" s="58">
        <f t="shared" si="13"/>
        <v>866.40635760178793</v>
      </c>
      <c r="AF17" s="60" t="s">
        <v>102</v>
      </c>
      <c r="AG17" s="7">
        <f t="shared" si="4"/>
        <v>191.54456230812775</v>
      </c>
      <c r="AH17" s="7">
        <f t="shared" si="5"/>
        <v>11.492673738487666</v>
      </c>
      <c r="AP17" s="7">
        <f t="shared" si="17"/>
        <v>32</v>
      </c>
      <c r="AQ17" s="7">
        <f t="shared" si="33"/>
        <v>9</v>
      </c>
      <c r="AR17" s="7">
        <f t="shared" si="18"/>
        <v>41</v>
      </c>
      <c r="AS17" s="44">
        <f t="shared" si="19"/>
        <v>1.0870000000000001E-3</v>
      </c>
      <c r="AT17" s="44">
        <f t="shared" si="20"/>
        <v>3.8699999999999997E-4</v>
      </c>
      <c r="AU17" s="44">
        <f t="shared" si="21"/>
        <v>1.7179999999999999E-3</v>
      </c>
      <c r="AV17" s="44">
        <f t="shared" si="22"/>
        <v>0.99681095227829064</v>
      </c>
      <c r="AX17" s="7">
        <f t="shared" si="23"/>
        <v>32</v>
      </c>
      <c r="AY17" s="7">
        <f t="shared" si="23"/>
        <v>9</v>
      </c>
      <c r="AZ17" s="7">
        <f t="shared" si="24"/>
        <v>41</v>
      </c>
      <c r="BA17" s="44">
        <f t="shared" si="25"/>
        <v>1.085856173403114E-3</v>
      </c>
      <c r="BB17" s="44">
        <f t="shared" si="26"/>
        <v>3.8645747340311395E-4</v>
      </c>
      <c r="BC17" s="44">
        <f t="shared" si="27"/>
        <v>1.716734074903114E-3</v>
      </c>
      <c r="BD17" s="44">
        <f t="shared" si="28"/>
        <v>3.189047721709342E-3</v>
      </c>
      <c r="BE17" s="44">
        <f t="shared" si="29"/>
        <v>0.99681095227829064</v>
      </c>
      <c r="BF17" s="44">
        <f t="shared" si="30"/>
        <v>0</v>
      </c>
    </row>
    <row r="18" spans="2:58" ht="16.5" x14ac:dyDescent="0.3">
      <c r="B18" s="34">
        <v>12</v>
      </c>
      <c r="C18" s="41">
        <v>4.57E-4</v>
      </c>
      <c r="E18" s="45">
        <v>12</v>
      </c>
      <c r="F18" s="37">
        <v>1.9999999999999999E-6</v>
      </c>
      <c r="H18" s="45">
        <v>13</v>
      </c>
      <c r="I18" s="40">
        <v>9.8499999999999998E-4</v>
      </c>
      <c r="K18" s="9" t="s">
        <v>9</v>
      </c>
      <c r="L18" s="10" t="s">
        <v>10</v>
      </c>
      <c r="M18" s="11">
        <f>M11</f>
        <v>32</v>
      </c>
      <c r="R18" s="7">
        <f t="shared" si="6"/>
        <v>32</v>
      </c>
      <c r="S18" s="7">
        <v>10</v>
      </c>
      <c r="T18" s="7">
        <f t="shared" si="7"/>
        <v>42</v>
      </c>
      <c r="U18" s="7">
        <f t="shared" si="31"/>
        <v>11</v>
      </c>
      <c r="V18" s="44">
        <f t="shared" si="8"/>
        <v>0.30952788758288541</v>
      </c>
      <c r="W18" s="44">
        <f t="shared" si="1"/>
        <v>1.1437362133394583E-3</v>
      </c>
      <c r="X18" s="44">
        <f t="shared" si="2"/>
        <v>4.3236811333945835E-4</v>
      </c>
      <c r="Y18" s="44">
        <f t="shared" si="3"/>
        <v>1.7735998183394583E-3</v>
      </c>
      <c r="Z18" s="44">
        <f t="shared" si="9"/>
        <v>3.3497041450183751E-3</v>
      </c>
      <c r="AA18" s="44">
        <f t="shared" si="10"/>
        <v>0.99665029585498166</v>
      </c>
      <c r="AB18" s="44">
        <f t="shared" si="32"/>
        <v>0.97395825204273967</v>
      </c>
      <c r="AC18" s="58">
        <f t="shared" si="11"/>
        <v>568.91834987184188</v>
      </c>
      <c r="AD18" s="58">
        <f t="shared" si="12"/>
        <v>215.06895620631994</v>
      </c>
      <c r="AE18" s="58">
        <f t="shared" si="13"/>
        <v>882.22570048431646</v>
      </c>
      <c r="AF18" s="60" t="s">
        <v>102</v>
      </c>
      <c r="AG18" s="7">
        <f t="shared" si="4"/>
        <v>172.17488746798003</v>
      </c>
      <c r="AH18" s="7">
        <f t="shared" si="5"/>
        <v>10.330493248078801</v>
      </c>
      <c r="AP18" s="7">
        <f t="shared" si="17"/>
        <v>32</v>
      </c>
      <c r="AQ18" s="7">
        <f t="shared" si="33"/>
        <v>10</v>
      </c>
      <c r="AR18" s="7">
        <f t="shared" si="18"/>
        <v>42</v>
      </c>
      <c r="AS18" s="44">
        <f t="shared" si="19"/>
        <v>1.145E-3</v>
      </c>
      <c r="AT18" s="44">
        <f t="shared" si="20"/>
        <v>4.3300000000000001E-4</v>
      </c>
      <c r="AU18" s="44">
        <f t="shared" si="21"/>
        <v>1.7750000000000001E-3</v>
      </c>
      <c r="AV18" s="44">
        <f t="shared" si="22"/>
        <v>0.99665029585498177</v>
      </c>
      <c r="AX18" s="7">
        <f t="shared" si="23"/>
        <v>32</v>
      </c>
      <c r="AY18" s="7">
        <f t="shared" si="23"/>
        <v>10</v>
      </c>
      <c r="AZ18" s="7">
        <f t="shared" si="24"/>
        <v>42</v>
      </c>
      <c r="BA18" s="44">
        <f t="shared" si="25"/>
        <v>1.1437362133394583E-3</v>
      </c>
      <c r="BB18" s="44">
        <f t="shared" si="26"/>
        <v>4.3236811333945835E-4</v>
      </c>
      <c r="BC18" s="44">
        <f t="shared" si="27"/>
        <v>1.7735998183394583E-3</v>
      </c>
      <c r="BD18" s="44">
        <f t="shared" si="28"/>
        <v>3.3497041450183751E-3</v>
      </c>
      <c r="BE18" s="44">
        <f t="shared" si="29"/>
        <v>0.99665029585498166</v>
      </c>
      <c r="BF18" s="44">
        <f t="shared" si="30"/>
        <v>0</v>
      </c>
    </row>
    <row r="19" spans="2:58" ht="16.5" x14ac:dyDescent="0.3">
      <c r="B19" s="34">
        <v>13</v>
      </c>
      <c r="C19" s="41">
        <v>4.6299999999999998E-4</v>
      </c>
      <c r="E19" s="45">
        <v>13</v>
      </c>
      <c r="F19" s="38">
        <v>1.9999999999999999E-6</v>
      </c>
      <c r="H19" s="45">
        <v>14</v>
      </c>
      <c r="I19" s="39">
        <v>9.9400000000000009E-4</v>
      </c>
      <c r="K19" s="9" t="s">
        <v>11</v>
      </c>
      <c r="L19" s="10" t="s">
        <v>12</v>
      </c>
      <c r="M19" s="11">
        <v>8</v>
      </c>
      <c r="R19" s="7">
        <f t="shared" si="6"/>
        <v>32</v>
      </c>
      <c r="S19" s="7">
        <v>11</v>
      </c>
      <c r="T19" s="7">
        <f t="shared" si="7"/>
        <v>43</v>
      </c>
      <c r="U19" s="7">
        <f t="shared" si="31"/>
        <v>12</v>
      </c>
      <c r="V19" s="44">
        <f t="shared" si="8"/>
        <v>0.27822731468124529</v>
      </c>
      <c r="W19" s="44">
        <f t="shared" si="1"/>
        <v>1.2065996816243733E-3</v>
      </c>
      <c r="X19" s="44">
        <f t="shared" si="2"/>
        <v>4.8326395162437332E-4</v>
      </c>
      <c r="Y19" s="44">
        <f t="shared" si="3"/>
        <v>1.8334479476243735E-3</v>
      </c>
      <c r="Z19" s="44">
        <f t="shared" si="9"/>
        <v>3.5233115808731199E-3</v>
      </c>
      <c r="AA19" s="44">
        <f t="shared" si="10"/>
        <v>0.99647668841912684</v>
      </c>
      <c r="AB19" s="44">
        <f t="shared" si="32"/>
        <v>0.97069578004879731</v>
      </c>
      <c r="AC19" s="58">
        <f t="shared" si="11"/>
        <v>586.56833865207602</v>
      </c>
      <c r="AD19" s="58">
        <f t="shared" si="12"/>
        <v>234.93072105997135</v>
      </c>
      <c r="AE19" s="58">
        <f t="shared" si="13"/>
        <v>891.30018267142498</v>
      </c>
      <c r="AF19" s="60" t="s">
        <v>102</v>
      </c>
      <c r="AG19" s="7">
        <f t="shared" si="4"/>
        <v>154.7639437914427</v>
      </c>
      <c r="AH19" s="7">
        <f t="shared" si="5"/>
        <v>9.285836627486562</v>
      </c>
      <c r="AP19" s="7">
        <f t="shared" si="17"/>
        <v>32</v>
      </c>
      <c r="AQ19" s="7">
        <f t="shared" si="33"/>
        <v>11</v>
      </c>
      <c r="AR19" s="7">
        <f t="shared" si="18"/>
        <v>43</v>
      </c>
      <c r="AS19" s="44">
        <f t="shared" si="19"/>
        <v>1.2080000000000001E-3</v>
      </c>
      <c r="AT19" s="44">
        <f t="shared" si="20"/>
        <v>4.84E-4</v>
      </c>
      <c r="AU19" s="44">
        <f t="shared" si="21"/>
        <v>1.835E-3</v>
      </c>
      <c r="AV19" s="44">
        <f t="shared" si="22"/>
        <v>0.99647668841912684</v>
      </c>
      <c r="AX19" s="7">
        <f t="shared" si="23"/>
        <v>32</v>
      </c>
      <c r="AY19" s="7">
        <f t="shared" si="23"/>
        <v>11</v>
      </c>
      <c r="AZ19" s="7">
        <f t="shared" si="24"/>
        <v>43</v>
      </c>
      <c r="BA19" s="44">
        <f t="shared" si="25"/>
        <v>1.2065996816243733E-3</v>
      </c>
      <c r="BB19" s="44">
        <f t="shared" si="26"/>
        <v>4.8326395162437332E-4</v>
      </c>
      <c r="BC19" s="44">
        <f t="shared" si="27"/>
        <v>1.8334479476243735E-3</v>
      </c>
      <c r="BD19" s="44">
        <f t="shared" si="28"/>
        <v>3.5233115808731199E-3</v>
      </c>
      <c r="BE19" s="44">
        <f t="shared" si="29"/>
        <v>0.99647668841912684</v>
      </c>
      <c r="BF19" s="44">
        <f t="shared" si="30"/>
        <v>0</v>
      </c>
    </row>
    <row r="20" spans="2:58" ht="16.5" x14ac:dyDescent="0.3">
      <c r="B20" s="34">
        <v>14</v>
      </c>
      <c r="C20" s="41">
        <v>4.6799999999999999E-4</v>
      </c>
      <c r="E20" s="45">
        <v>14</v>
      </c>
      <c r="F20" s="37">
        <v>3.0000000000000001E-6</v>
      </c>
      <c r="H20" s="45">
        <v>15</v>
      </c>
      <c r="I20" s="40">
        <v>1.003E-3</v>
      </c>
      <c r="K20" s="9" t="s">
        <v>92</v>
      </c>
      <c r="L20" s="51" t="s">
        <v>93</v>
      </c>
      <c r="M20" s="52">
        <f>M14</f>
        <v>0.1125</v>
      </c>
      <c r="R20" s="7">
        <f t="shared" si="6"/>
        <v>32</v>
      </c>
      <c r="S20" s="7">
        <v>12</v>
      </c>
      <c r="T20" s="7">
        <f t="shared" si="7"/>
        <v>44</v>
      </c>
      <c r="U20" s="7">
        <f t="shared" si="31"/>
        <v>13</v>
      </c>
      <c r="V20" s="44">
        <f t="shared" si="8"/>
        <v>0.25009196825280472</v>
      </c>
      <c r="W20" s="44">
        <f t="shared" si="1"/>
        <v>1.2764419152666E-3</v>
      </c>
      <c r="X20" s="44">
        <f t="shared" si="2"/>
        <v>5.3814396526659998E-4</v>
      </c>
      <c r="Y20" s="44">
        <f t="shared" si="3"/>
        <v>1.8982742862666002E-3</v>
      </c>
      <c r="Z20" s="44">
        <f t="shared" si="9"/>
        <v>3.7128601667998002E-3</v>
      </c>
      <c r="AA20" s="44">
        <f t="shared" si="10"/>
        <v>0.99628713983320016</v>
      </c>
      <c r="AB20" s="44">
        <f t="shared" si="32"/>
        <v>0.96727571636544663</v>
      </c>
      <c r="AC20" s="58">
        <f t="shared" si="11"/>
        <v>602.12366673498173</v>
      </c>
      <c r="AD20" s="58">
        <f t="shared" si="12"/>
        <v>253.85347638787817</v>
      </c>
      <c r="AE20" s="58">
        <f t="shared" si="13"/>
        <v>895.45466976994987</v>
      </c>
      <c r="AF20" s="60" t="s">
        <v>102</v>
      </c>
      <c r="AG20" s="7">
        <f t="shared" si="4"/>
        <v>139.11365734062264</v>
      </c>
      <c r="AH20" s="7">
        <f t="shared" si="5"/>
        <v>8.3468194404373577</v>
      </c>
      <c r="AP20" s="7">
        <f t="shared" si="17"/>
        <v>32</v>
      </c>
      <c r="AQ20" s="7">
        <f t="shared" si="33"/>
        <v>12</v>
      </c>
      <c r="AR20" s="7">
        <f t="shared" si="18"/>
        <v>44</v>
      </c>
      <c r="AS20" s="44">
        <f t="shared" si="19"/>
        <v>1.2780000000000001E-3</v>
      </c>
      <c r="AT20" s="44">
        <f t="shared" si="20"/>
        <v>5.3899999999999998E-4</v>
      </c>
      <c r="AU20" s="44">
        <f t="shared" si="21"/>
        <v>1.9E-3</v>
      </c>
      <c r="AV20" s="44">
        <f t="shared" si="22"/>
        <v>0.99628713983320027</v>
      </c>
      <c r="AX20" s="7">
        <f t="shared" si="23"/>
        <v>32</v>
      </c>
      <c r="AY20" s="7">
        <f t="shared" si="23"/>
        <v>12</v>
      </c>
      <c r="AZ20" s="7">
        <f t="shared" si="24"/>
        <v>44</v>
      </c>
      <c r="BA20" s="44">
        <f t="shared" si="25"/>
        <v>1.2764419152666E-3</v>
      </c>
      <c r="BB20" s="44">
        <f t="shared" si="26"/>
        <v>5.3814396526659998E-4</v>
      </c>
      <c r="BC20" s="44">
        <f t="shared" si="27"/>
        <v>1.8982742862666002E-3</v>
      </c>
      <c r="BD20" s="44">
        <f t="shared" si="28"/>
        <v>3.7128601667998002E-3</v>
      </c>
      <c r="BE20" s="44">
        <f t="shared" si="29"/>
        <v>0.99628713983320016</v>
      </c>
      <c r="BF20" s="44">
        <f t="shared" si="30"/>
        <v>0</v>
      </c>
    </row>
    <row r="21" spans="2:58" x14ac:dyDescent="0.25">
      <c r="B21" s="34">
        <v>15</v>
      </c>
      <c r="C21" s="41">
        <v>4.75E-4</v>
      </c>
      <c r="E21" s="45">
        <v>15</v>
      </c>
      <c r="F21" s="38">
        <v>3.9999999999999998E-6</v>
      </c>
      <c r="H21" s="45">
        <v>16</v>
      </c>
      <c r="I21" s="39">
        <v>1.0139999999999999E-3</v>
      </c>
      <c r="R21" s="7">
        <f t="shared" si="6"/>
        <v>32</v>
      </c>
      <c r="S21" s="7">
        <v>13</v>
      </c>
      <c r="T21" s="7">
        <f t="shared" si="7"/>
        <v>45</v>
      </c>
      <c r="U21" s="7">
        <f t="shared" si="31"/>
        <v>14</v>
      </c>
      <c r="V21" s="44">
        <f t="shared" si="8"/>
        <v>0.22480176921600423</v>
      </c>
      <c r="W21" s="44">
        <f t="shared" si="1"/>
        <v>1.351263956153232E-3</v>
      </c>
      <c r="X21" s="44">
        <f t="shared" si="2"/>
        <v>5.9800589215323202E-4</v>
      </c>
      <c r="Y21" s="44">
        <f t="shared" si="3"/>
        <v>1.9660797636532321E-3</v>
      </c>
      <c r="Z21" s="44">
        <f t="shared" si="9"/>
        <v>3.9153496119596967E-3</v>
      </c>
      <c r="AA21" s="44">
        <f t="shared" si="10"/>
        <v>0.99608465038804028</v>
      </c>
      <c r="AB21" s="44">
        <f t="shared" si="32"/>
        <v>0.9636843568878406</v>
      </c>
      <c r="AC21" s="58">
        <f t="shared" si="11"/>
        <v>614.7436075200651</v>
      </c>
      <c r="AD21" s="58">
        <f t="shared" si="12"/>
        <v>272.05661616777786</v>
      </c>
      <c r="AE21" s="58">
        <f t="shared" si="13"/>
        <v>894.4477213919904</v>
      </c>
      <c r="AF21" s="60" t="s">
        <v>102</v>
      </c>
      <c r="AG21" s="7">
        <f t="shared" si="4"/>
        <v>125.04598412640236</v>
      </c>
      <c r="AH21" s="7">
        <f t="shared" si="5"/>
        <v>7.5027590475841412</v>
      </c>
      <c r="AP21" s="7">
        <f t="shared" si="17"/>
        <v>32</v>
      </c>
      <c r="AQ21" s="7">
        <f t="shared" si="33"/>
        <v>13</v>
      </c>
      <c r="AR21" s="7">
        <f t="shared" si="18"/>
        <v>45</v>
      </c>
      <c r="AS21" s="44">
        <f t="shared" si="19"/>
        <v>1.353E-3</v>
      </c>
      <c r="AT21" s="44">
        <f t="shared" si="20"/>
        <v>5.9900000000000003E-4</v>
      </c>
      <c r="AU21" s="44">
        <f t="shared" si="21"/>
        <v>1.9680000000000001E-3</v>
      </c>
      <c r="AV21" s="44">
        <f t="shared" si="22"/>
        <v>0.99608465038804017</v>
      </c>
      <c r="AX21" s="7">
        <f t="shared" si="23"/>
        <v>32</v>
      </c>
      <c r="AY21" s="7">
        <f t="shared" si="23"/>
        <v>13</v>
      </c>
      <c r="AZ21" s="7">
        <f t="shared" si="24"/>
        <v>45</v>
      </c>
      <c r="BA21" s="44">
        <f t="shared" si="25"/>
        <v>1.351263956153232E-3</v>
      </c>
      <c r="BB21" s="44">
        <f t="shared" si="26"/>
        <v>5.9800589215323202E-4</v>
      </c>
      <c r="BC21" s="44">
        <f t="shared" si="27"/>
        <v>1.9660797636532321E-3</v>
      </c>
      <c r="BD21" s="44">
        <f t="shared" si="28"/>
        <v>3.9153496119596967E-3</v>
      </c>
      <c r="BE21" s="44">
        <f t="shared" si="29"/>
        <v>0.99608465038804028</v>
      </c>
      <c r="BF21" s="44">
        <f t="shared" si="30"/>
        <v>0</v>
      </c>
    </row>
    <row r="22" spans="2:58" x14ac:dyDescent="0.25">
      <c r="B22" s="34">
        <v>16</v>
      </c>
      <c r="C22" s="41">
        <v>4.8200000000000001E-4</v>
      </c>
      <c r="E22" s="45">
        <v>16</v>
      </c>
      <c r="F22" s="37">
        <v>5.0000000000000004E-6</v>
      </c>
      <c r="H22" s="45">
        <v>17</v>
      </c>
      <c r="I22" s="40">
        <v>1.0250000000000001E-3</v>
      </c>
      <c r="R22" s="7">
        <f t="shared" si="6"/>
        <v>32</v>
      </c>
      <c r="S22" s="7">
        <v>14</v>
      </c>
      <c r="T22" s="7">
        <f t="shared" si="7"/>
        <v>46</v>
      </c>
      <c r="U22" s="7">
        <f t="shared" si="31"/>
        <v>15</v>
      </c>
      <c r="V22" s="44">
        <f t="shared" si="8"/>
        <v>0.20206900603685776</v>
      </c>
      <c r="W22" s="44">
        <f t="shared" si="1"/>
        <v>1.4330590942250917E-3</v>
      </c>
      <c r="X22" s="44">
        <f t="shared" si="2"/>
        <v>6.6384487922509163E-4</v>
      </c>
      <c r="Y22" s="44">
        <f t="shared" si="3"/>
        <v>2.0388575992250917E-3</v>
      </c>
      <c r="Z22" s="44">
        <f t="shared" si="9"/>
        <v>4.1357615726752752E-3</v>
      </c>
      <c r="AA22" s="44">
        <f t="shared" si="10"/>
        <v>0.99586423842732474</v>
      </c>
      <c r="AB22" s="44">
        <f t="shared" si="32"/>
        <v>0.95991119571504813</v>
      </c>
      <c r="AC22" s="58">
        <f t="shared" si="11"/>
        <v>625.42808556439275</v>
      </c>
      <c r="AD22" s="58">
        <f t="shared" si="12"/>
        <v>289.72094284079873</v>
      </c>
      <c r="AE22" s="58">
        <f t="shared" si="13"/>
        <v>889.81592605662138</v>
      </c>
      <c r="AF22" s="60" t="s">
        <v>102</v>
      </c>
      <c r="AG22" s="7">
        <f t="shared" si="4"/>
        <v>112.40088460800214</v>
      </c>
      <c r="AH22" s="7">
        <f t="shared" si="5"/>
        <v>6.7440530764801281</v>
      </c>
      <c r="AP22" s="7">
        <f t="shared" si="17"/>
        <v>32</v>
      </c>
      <c r="AQ22" s="7">
        <f t="shared" si="33"/>
        <v>14</v>
      </c>
      <c r="AR22" s="7">
        <f t="shared" si="18"/>
        <v>46</v>
      </c>
      <c r="AS22" s="44">
        <f t="shared" si="19"/>
        <v>1.4350000000000001E-3</v>
      </c>
      <c r="AT22" s="44">
        <f t="shared" si="20"/>
        <v>6.6500000000000001E-4</v>
      </c>
      <c r="AU22" s="44">
        <f t="shared" si="21"/>
        <v>2.0409999999999998E-3</v>
      </c>
      <c r="AV22" s="44">
        <f t="shared" si="22"/>
        <v>0.99586423842732474</v>
      </c>
      <c r="AX22" s="7">
        <f t="shared" si="23"/>
        <v>32</v>
      </c>
      <c r="AY22" s="7">
        <f t="shared" si="23"/>
        <v>14</v>
      </c>
      <c r="AZ22" s="7">
        <f t="shared" si="24"/>
        <v>46</v>
      </c>
      <c r="BA22" s="44">
        <f t="shared" si="25"/>
        <v>1.4330590942250917E-3</v>
      </c>
      <c r="BB22" s="44">
        <f t="shared" si="26"/>
        <v>6.6384487922509163E-4</v>
      </c>
      <c r="BC22" s="44">
        <f t="shared" si="27"/>
        <v>2.0388575992250917E-3</v>
      </c>
      <c r="BD22" s="44">
        <f t="shared" si="28"/>
        <v>4.1357615726752752E-3</v>
      </c>
      <c r="BE22" s="44">
        <f t="shared" si="29"/>
        <v>0.99586423842732474</v>
      </c>
      <c r="BF22" s="44">
        <f t="shared" si="30"/>
        <v>0</v>
      </c>
    </row>
    <row r="23" spans="2:58" ht="16.5" x14ac:dyDescent="0.3">
      <c r="B23" s="34">
        <v>17</v>
      </c>
      <c r="C23" s="41">
        <v>4.8899999999999996E-4</v>
      </c>
      <c r="E23" s="45">
        <v>17</v>
      </c>
      <c r="F23" s="38">
        <v>6.9999999999999999E-6</v>
      </c>
      <c r="H23" s="45">
        <v>18</v>
      </c>
      <c r="I23" s="39">
        <v>1.0369999999999999E-3</v>
      </c>
      <c r="K23" s="178" t="s">
        <v>95</v>
      </c>
      <c r="L23" s="179"/>
      <c r="R23" s="7">
        <f t="shared" si="6"/>
        <v>32</v>
      </c>
      <c r="S23" s="7">
        <v>15</v>
      </c>
      <c r="T23" s="7">
        <f t="shared" si="7"/>
        <v>47</v>
      </c>
      <c r="U23" s="7">
        <f t="shared" si="31"/>
        <v>16</v>
      </c>
      <c r="V23" s="44">
        <f t="shared" si="8"/>
        <v>0.18163506160616424</v>
      </c>
      <c r="W23" s="44">
        <f t="shared" si="1"/>
        <v>1.5228246174144001E-3</v>
      </c>
      <c r="X23" s="44">
        <f t="shared" si="2"/>
        <v>7.3466016841439998E-4</v>
      </c>
      <c r="Y23" s="44">
        <f t="shared" si="3"/>
        <v>2.1156063934143999E-3</v>
      </c>
      <c r="Z23" s="44">
        <f t="shared" si="9"/>
        <v>4.3730911792432001E-3</v>
      </c>
      <c r="AA23" s="44">
        <f t="shared" si="10"/>
        <v>0.99562690882075677</v>
      </c>
      <c r="AB23" s="44">
        <f t="shared" si="32"/>
        <v>0.95594123187862912</v>
      </c>
      <c r="AC23" s="58">
        <f t="shared" si="11"/>
        <v>634.58822624080369</v>
      </c>
      <c r="AD23" s="58">
        <f t="shared" si="12"/>
        <v>306.1460182824174</v>
      </c>
      <c r="AE23" s="58">
        <f t="shared" si="13"/>
        <v>881.61098347624647</v>
      </c>
      <c r="AF23" s="60" t="s">
        <v>102</v>
      </c>
      <c r="AG23" s="7">
        <f t="shared" si="4"/>
        <v>101.03450301842886</v>
      </c>
      <c r="AH23" s="7">
        <f t="shared" si="5"/>
        <v>6.0620701811057316</v>
      </c>
      <c r="AP23" s="7">
        <f t="shared" si="17"/>
        <v>32</v>
      </c>
      <c r="AQ23" s="7">
        <f t="shared" si="33"/>
        <v>15</v>
      </c>
      <c r="AR23" s="7">
        <f t="shared" si="18"/>
        <v>47</v>
      </c>
      <c r="AS23" s="44">
        <f t="shared" si="19"/>
        <v>1.5250000000000001E-3</v>
      </c>
      <c r="AT23" s="44">
        <f t="shared" si="20"/>
        <v>7.36E-4</v>
      </c>
      <c r="AU23" s="44">
        <f t="shared" si="21"/>
        <v>2.1180000000000001E-3</v>
      </c>
      <c r="AV23" s="44">
        <f t="shared" si="22"/>
        <v>0.995626908820757</v>
      </c>
      <c r="AX23" s="7">
        <f t="shared" si="23"/>
        <v>32</v>
      </c>
      <c r="AY23" s="7">
        <f t="shared" si="23"/>
        <v>15</v>
      </c>
      <c r="AZ23" s="7">
        <f t="shared" si="24"/>
        <v>47</v>
      </c>
      <c r="BA23" s="44">
        <f t="shared" si="25"/>
        <v>1.5228246174144001E-3</v>
      </c>
      <c r="BB23" s="44">
        <f t="shared" si="26"/>
        <v>7.3466016841439998E-4</v>
      </c>
      <c r="BC23" s="44">
        <f t="shared" si="27"/>
        <v>2.1156063934143999E-3</v>
      </c>
      <c r="BD23" s="44">
        <f t="shared" si="28"/>
        <v>4.3730911792432001E-3</v>
      </c>
      <c r="BE23" s="44">
        <f t="shared" si="29"/>
        <v>0.99562690882075677</v>
      </c>
      <c r="BF23" s="44">
        <f t="shared" si="30"/>
        <v>0</v>
      </c>
    </row>
    <row r="24" spans="2:58" ht="19.5" x14ac:dyDescent="0.4">
      <c r="B24" s="34">
        <v>18</v>
      </c>
      <c r="C24" s="41">
        <v>4.9799999999999996E-4</v>
      </c>
      <c r="E24" s="45">
        <v>18</v>
      </c>
      <c r="F24" s="37">
        <v>9.0000000000000002E-6</v>
      </c>
      <c r="H24" s="45">
        <v>19</v>
      </c>
      <c r="I24" s="40">
        <v>1.0499999999999999E-3</v>
      </c>
      <c r="K24" s="9" t="s">
        <v>96</v>
      </c>
      <c r="L24" s="10" t="s">
        <v>104</v>
      </c>
      <c r="M24" s="53">
        <f>SUM(AC6:AE6)</f>
        <v>25099.990851036389</v>
      </c>
      <c r="R24" s="7">
        <f t="shared" si="6"/>
        <v>32</v>
      </c>
      <c r="S24" s="7">
        <v>16</v>
      </c>
      <c r="T24" s="7">
        <f t="shared" si="7"/>
        <v>48</v>
      </c>
      <c r="U24" s="7">
        <f t="shared" si="31"/>
        <v>17</v>
      </c>
      <c r="V24" s="44">
        <f t="shared" si="8"/>
        <v>0.16326747110666448</v>
      </c>
      <c r="W24" s="44">
        <f t="shared" si="1"/>
        <v>1.6205559173816922E-3</v>
      </c>
      <c r="X24" s="44">
        <f t="shared" si="2"/>
        <v>8.1044842288169197E-4</v>
      </c>
      <c r="Y24" s="44">
        <f t="shared" si="3"/>
        <v>2.198321249381692E-3</v>
      </c>
      <c r="Z24" s="44">
        <f t="shared" si="9"/>
        <v>4.6293255896450759E-3</v>
      </c>
      <c r="AA24" s="44">
        <f t="shared" si="10"/>
        <v>0.99537067441035487</v>
      </c>
      <c r="AB24" s="44">
        <f t="shared" si="32"/>
        <v>0.95176081370962573</v>
      </c>
      <c r="AC24" s="58">
        <f t="shared" si="11"/>
        <v>642.14290318855808</v>
      </c>
      <c r="AD24" s="58">
        <f t="shared" si="12"/>
        <v>321.13899777965003</v>
      </c>
      <c r="AE24" s="58">
        <f t="shared" si="13"/>
        <v>871.08156779916465</v>
      </c>
      <c r="AF24" s="60" t="s">
        <v>102</v>
      </c>
      <c r="AG24" s="7">
        <f t="shared" si="4"/>
        <v>90.817530803082121</v>
      </c>
      <c r="AH24" s="7">
        <f t="shared" si="5"/>
        <v>5.4490518481849275</v>
      </c>
      <c r="AP24" s="7">
        <f t="shared" si="17"/>
        <v>32</v>
      </c>
      <c r="AQ24" s="7">
        <f t="shared" si="33"/>
        <v>16</v>
      </c>
      <c r="AR24" s="7">
        <f t="shared" si="18"/>
        <v>48</v>
      </c>
      <c r="AS24" s="44">
        <f t="shared" si="19"/>
        <v>1.6230000000000001E-3</v>
      </c>
      <c r="AT24" s="44">
        <f t="shared" si="20"/>
        <v>8.12E-4</v>
      </c>
      <c r="AU24" s="44">
        <f t="shared" si="21"/>
        <v>2.2009999999999998E-3</v>
      </c>
      <c r="AV24" s="44">
        <f t="shared" si="22"/>
        <v>0.99537067441035487</v>
      </c>
      <c r="AX24" s="7">
        <f t="shared" si="23"/>
        <v>32</v>
      </c>
      <c r="AY24" s="7">
        <f t="shared" si="23"/>
        <v>16</v>
      </c>
      <c r="AZ24" s="7">
        <f t="shared" si="24"/>
        <v>48</v>
      </c>
      <c r="BA24" s="44">
        <f t="shared" si="25"/>
        <v>1.6205559173816922E-3</v>
      </c>
      <c r="BB24" s="44">
        <f t="shared" si="26"/>
        <v>8.1044842288169197E-4</v>
      </c>
      <c r="BC24" s="44">
        <f t="shared" si="27"/>
        <v>2.198321249381692E-3</v>
      </c>
      <c r="BD24" s="44">
        <f t="shared" si="28"/>
        <v>4.6293255896450759E-3</v>
      </c>
      <c r="BE24" s="44">
        <f t="shared" si="29"/>
        <v>0.99537067441035487</v>
      </c>
      <c r="BF24" s="44">
        <f t="shared" si="30"/>
        <v>0</v>
      </c>
    </row>
    <row r="25" spans="2:58" ht="19.5" x14ac:dyDescent="0.4">
      <c r="B25" s="34">
        <v>19</v>
      </c>
      <c r="C25" s="41">
        <v>5.0699999999999996E-4</v>
      </c>
      <c r="E25" s="45">
        <v>19</v>
      </c>
      <c r="F25" s="38">
        <v>1.2E-5</v>
      </c>
      <c r="H25" s="45">
        <v>20</v>
      </c>
      <c r="I25" s="39">
        <v>1.0640000000000001E-3</v>
      </c>
      <c r="K25" s="9" t="s">
        <v>97</v>
      </c>
      <c r="L25" s="10" t="s">
        <v>182</v>
      </c>
      <c r="M25" s="53">
        <f>M24+SUM(AF6:AH6)+T36</f>
        <v>39128.543721305294</v>
      </c>
      <c r="R25" s="7">
        <f t="shared" si="6"/>
        <v>32</v>
      </c>
      <c r="S25" s="7">
        <v>17</v>
      </c>
      <c r="T25" s="7">
        <f t="shared" si="7"/>
        <v>49</v>
      </c>
      <c r="U25" s="7">
        <f t="shared" si="31"/>
        <v>18</v>
      </c>
      <c r="V25" s="44">
        <f t="shared" si="8"/>
        <v>0.14675727739924896</v>
      </c>
      <c r="W25" s="44">
        <f t="shared" si="1"/>
        <v>1.72724615771104E-3</v>
      </c>
      <c r="X25" s="44">
        <f t="shared" si="2"/>
        <v>8.9420067071103993E-4</v>
      </c>
      <c r="Y25" s="44">
        <f t="shared" si="3"/>
        <v>2.2859957257110397E-3</v>
      </c>
      <c r="Z25" s="44">
        <f t="shared" si="9"/>
        <v>4.9074425541331193E-3</v>
      </c>
      <c r="AA25" s="44">
        <f t="shared" si="10"/>
        <v>0.99509255744586689</v>
      </c>
      <c r="AB25" s="44">
        <f t="shared" si="32"/>
        <v>0.94735480301949826</v>
      </c>
      <c r="AC25" s="58">
        <f t="shared" si="11"/>
        <v>648.38104040636176</v>
      </c>
      <c r="AD25" s="58">
        <f t="shared" si="12"/>
        <v>335.66886724242204</v>
      </c>
      <c r="AE25" s="58">
        <f t="shared" si="13"/>
        <v>858.12683987396338</v>
      </c>
      <c r="AF25" s="60" t="s">
        <v>102</v>
      </c>
      <c r="AG25" s="7">
        <f t="shared" si="4"/>
        <v>81.633735553332244</v>
      </c>
      <c r="AH25" s="7">
        <f t="shared" si="5"/>
        <v>4.8980241331999341</v>
      </c>
      <c r="AP25" s="7">
        <f t="shared" si="17"/>
        <v>32</v>
      </c>
      <c r="AQ25" s="7">
        <f t="shared" si="33"/>
        <v>17</v>
      </c>
      <c r="AR25" s="7">
        <f t="shared" si="18"/>
        <v>49</v>
      </c>
      <c r="AS25" s="44">
        <f t="shared" si="19"/>
        <v>1.73E-3</v>
      </c>
      <c r="AT25" s="44">
        <f t="shared" si="20"/>
        <v>8.9599999999999999E-4</v>
      </c>
      <c r="AU25" s="44">
        <f t="shared" si="21"/>
        <v>2.2889999999999998E-3</v>
      </c>
      <c r="AV25" s="44">
        <f t="shared" si="22"/>
        <v>0.99509255744586689</v>
      </c>
      <c r="AX25" s="7">
        <f t="shared" si="23"/>
        <v>32</v>
      </c>
      <c r="AY25" s="7">
        <f t="shared" si="23"/>
        <v>17</v>
      </c>
      <c r="AZ25" s="7">
        <f t="shared" si="24"/>
        <v>49</v>
      </c>
      <c r="BA25" s="44">
        <f t="shared" si="25"/>
        <v>1.72724615771104E-3</v>
      </c>
      <c r="BB25" s="44">
        <f t="shared" si="26"/>
        <v>8.9420067071103993E-4</v>
      </c>
      <c r="BC25" s="44">
        <f t="shared" si="27"/>
        <v>2.2859957257110397E-3</v>
      </c>
      <c r="BD25" s="44">
        <f t="shared" si="28"/>
        <v>4.9074425541331193E-3</v>
      </c>
      <c r="BE25" s="44">
        <f t="shared" si="29"/>
        <v>0.99509255744586689</v>
      </c>
      <c r="BF25" s="44">
        <f t="shared" si="30"/>
        <v>0</v>
      </c>
    </row>
    <row r="26" spans="2:58" ht="20.25" x14ac:dyDescent="0.4">
      <c r="B26" s="34">
        <v>20</v>
      </c>
      <c r="C26" s="41">
        <v>5.1699999999999999E-4</v>
      </c>
      <c r="E26" s="45">
        <v>20</v>
      </c>
      <c r="F26" s="37">
        <v>1.4E-5</v>
      </c>
      <c r="H26" s="45">
        <v>21</v>
      </c>
      <c r="I26" s="40">
        <v>1.08E-3</v>
      </c>
      <c r="K26" s="9" t="s">
        <v>17</v>
      </c>
      <c r="L26" s="54" t="s">
        <v>162</v>
      </c>
      <c r="M26" s="55">
        <f>AK6</f>
        <v>28.544299320306635</v>
      </c>
    </row>
    <row r="27" spans="2:58" x14ac:dyDescent="0.25">
      <c r="B27" s="34">
        <v>21</v>
      </c>
      <c r="C27" s="41">
        <v>5.2800000000000004E-4</v>
      </c>
      <c r="E27" s="45">
        <v>21</v>
      </c>
      <c r="F27" s="38">
        <v>1.8E-5</v>
      </c>
      <c r="H27" s="45">
        <v>22</v>
      </c>
      <c r="I27" s="39">
        <v>1.096E-3</v>
      </c>
    </row>
    <row r="28" spans="2:58" x14ac:dyDescent="0.25">
      <c r="B28" s="34">
        <v>22</v>
      </c>
      <c r="C28" s="41">
        <v>5.4000000000000001E-4</v>
      </c>
      <c r="E28" s="45">
        <v>22</v>
      </c>
      <c r="F28" s="37">
        <v>2.1999999999999999E-5</v>
      </c>
      <c r="H28" s="45">
        <v>23</v>
      </c>
      <c r="I28" s="40">
        <v>1.114E-3</v>
      </c>
    </row>
    <row r="29" spans="2:58" ht="16.5" x14ac:dyDescent="0.3">
      <c r="B29" s="34">
        <v>23</v>
      </c>
      <c r="C29" s="41">
        <v>5.53E-4</v>
      </c>
      <c r="E29" s="45">
        <v>23</v>
      </c>
      <c r="F29" s="38">
        <v>2.6999999999999999E-5</v>
      </c>
      <c r="H29" s="45">
        <v>24</v>
      </c>
      <c r="I29" s="39">
        <v>1.132E-3</v>
      </c>
      <c r="K29" s="178" t="s">
        <v>100</v>
      </c>
      <c r="L29" s="179"/>
    </row>
    <row r="30" spans="2:58" ht="16.5" x14ac:dyDescent="0.3">
      <c r="B30" s="34">
        <v>24</v>
      </c>
      <c r="C30" s="41">
        <v>5.6700000000000001E-4</v>
      </c>
      <c r="E30" s="45">
        <v>24</v>
      </c>
      <c r="F30" s="37">
        <v>3.3000000000000003E-5</v>
      </c>
      <c r="H30" s="45">
        <v>25</v>
      </c>
      <c r="I30" s="40">
        <v>1.152E-3</v>
      </c>
      <c r="K30" s="9" t="s">
        <v>101</v>
      </c>
      <c r="L30" s="10" t="s">
        <v>19</v>
      </c>
      <c r="M30" s="12">
        <f>M24/M26</f>
        <v>879.33462893517458</v>
      </c>
    </row>
    <row r="31" spans="2:58" ht="16.5" x14ac:dyDescent="0.3">
      <c r="B31" s="34">
        <v>25</v>
      </c>
      <c r="C31" s="41">
        <v>5.8200000000000005E-4</v>
      </c>
      <c r="E31" s="45">
        <v>25</v>
      </c>
      <c r="F31" s="38">
        <v>4.0000000000000003E-5</v>
      </c>
      <c r="H31" s="45">
        <v>26</v>
      </c>
      <c r="I31" s="39">
        <v>1.1739999999999999E-3</v>
      </c>
      <c r="K31" s="9" t="s">
        <v>45</v>
      </c>
      <c r="L31" s="10" t="s">
        <v>44</v>
      </c>
      <c r="M31" s="12">
        <f>M25/M26</f>
        <v>1370.8006380618685</v>
      </c>
    </row>
    <row r="32" spans="2:58" x14ac:dyDescent="0.25">
      <c r="B32" s="34">
        <v>26</v>
      </c>
      <c r="C32" s="41">
        <v>5.9800000000000001E-4</v>
      </c>
      <c r="E32" s="45">
        <v>26</v>
      </c>
      <c r="F32" s="37">
        <v>4.6999999999999997E-5</v>
      </c>
      <c r="H32" s="45">
        <v>27</v>
      </c>
      <c r="I32" s="40">
        <v>1.1969999999999999E-3</v>
      </c>
    </row>
    <row r="33" spans="2:20" x14ac:dyDescent="0.25">
      <c r="B33" s="34">
        <v>27</v>
      </c>
      <c r="C33" s="41">
        <v>6.1600000000000001E-4</v>
      </c>
      <c r="E33" s="45">
        <v>27</v>
      </c>
      <c r="F33" s="38">
        <v>5.5999999999999999E-5</v>
      </c>
      <c r="H33" s="45">
        <v>28</v>
      </c>
      <c r="I33" s="39">
        <v>1.2210000000000001E-3</v>
      </c>
    </row>
    <row r="34" spans="2:20" ht="16.5" x14ac:dyDescent="0.3">
      <c r="B34" s="34">
        <v>28</v>
      </c>
      <c r="C34" s="41">
        <v>6.3500000000000004E-4</v>
      </c>
      <c r="E34" s="45">
        <v>28</v>
      </c>
      <c r="F34" s="37">
        <v>6.6000000000000005E-5</v>
      </c>
      <c r="H34" s="45">
        <v>29</v>
      </c>
      <c r="I34" s="40">
        <v>1.2470000000000001E-3</v>
      </c>
      <c r="K34" s="180" t="s">
        <v>107</v>
      </c>
      <c r="L34" s="181"/>
      <c r="M34" s="181"/>
      <c r="N34" s="181"/>
      <c r="P34" s="180" t="s">
        <v>37</v>
      </c>
      <c r="Q34" s="181"/>
      <c r="R34" s="181"/>
      <c r="S34" s="181"/>
      <c r="T34" s="181"/>
    </row>
    <row r="35" spans="2:20" ht="16.5" x14ac:dyDescent="0.3">
      <c r="B35" s="34">
        <v>29</v>
      </c>
      <c r="C35" s="41">
        <v>6.5600000000000001E-4</v>
      </c>
      <c r="E35" s="45">
        <v>29</v>
      </c>
      <c r="F35" s="38">
        <v>7.7999999999999999E-5</v>
      </c>
      <c r="H35" s="45">
        <v>30</v>
      </c>
      <c r="I35" s="39">
        <v>1.274E-3</v>
      </c>
      <c r="K35" s="141" t="s">
        <v>105</v>
      </c>
      <c r="L35" s="141" t="s">
        <v>108</v>
      </c>
      <c r="M35" s="141" t="s">
        <v>109</v>
      </c>
      <c r="N35" s="141" t="s">
        <v>106</v>
      </c>
      <c r="P35" s="141" t="s">
        <v>39</v>
      </c>
      <c r="Q35" s="141" t="s">
        <v>38</v>
      </c>
      <c r="R35" s="141" t="s">
        <v>40</v>
      </c>
      <c r="S35" s="141" t="s">
        <v>43</v>
      </c>
      <c r="T35" s="141" t="s">
        <v>41</v>
      </c>
    </row>
    <row r="36" spans="2:20" x14ac:dyDescent="0.25">
      <c r="B36" s="34">
        <v>30</v>
      </c>
      <c r="C36" s="41">
        <v>6.78E-4</v>
      </c>
      <c r="E36" s="45">
        <v>30</v>
      </c>
      <c r="F36" s="37">
        <v>9.1000000000000003E-5</v>
      </c>
      <c r="H36" s="45">
        <v>31</v>
      </c>
      <c r="I36" s="40">
        <v>1.304E-3</v>
      </c>
      <c r="K36" s="7">
        <v>0</v>
      </c>
      <c r="L36" s="18">
        <f>(8-K36)*$M$30</f>
        <v>7034.6770314813966</v>
      </c>
      <c r="M36" s="18">
        <f>(8-K36)*$M$31</f>
        <v>10966.405104494948</v>
      </c>
      <c r="N36" s="18">
        <v>0</v>
      </c>
      <c r="P36" s="7">
        <v>0</v>
      </c>
      <c r="Q36" s="25">
        <v>2500</v>
      </c>
      <c r="R36" s="25">
        <v>500</v>
      </c>
      <c r="S36" s="25">
        <v>30</v>
      </c>
      <c r="T36" s="25">
        <v>1000</v>
      </c>
    </row>
    <row r="37" spans="2:20" x14ac:dyDescent="0.25">
      <c r="B37" s="34">
        <v>31</v>
      </c>
      <c r="C37" s="41">
        <v>7.0299999999999996E-4</v>
      </c>
      <c r="E37" s="45">
        <v>31</v>
      </c>
      <c r="F37" s="38">
        <v>1.06E-4</v>
      </c>
      <c r="H37" s="45">
        <v>32</v>
      </c>
      <c r="I37" s="39">
        <v>1.335E-3</v>
      </c>
      <c r="K37" s="7">
        <f>K36+1</f>
        <v>1</v>
      </c>
      <c r="L37" s="18">
        <f t="shared" ref="L37:L43" si="34">(8-K37)*$M$30</f>
        <v>6155.3424025462218</v>
      </c>
      <c r="M37" s="18">
        <f t="shared" ref="M37:M43" si="35">(8-K37)*$M$31</f>
        <v>9595.6044664330802</v>
      </c>
      <c r="N37" s="18">
        <f>(K37)*$M$13</f>
        <v>150000</v>
      </c>
      <c r="P37" s="7">
        <v>1</v>
      </c>
      <c r="Q37" s="25">
        <v>2500</v>
      </c>
      <c r="R37" s="25">
        <v>500</v>
      </c>
      <c r="S37" s="25">
        <v>30</v>
      </c>
      <c r="T37" s="60" t="s">
        <v>102</v>
      </c>
    </row>
    <row r="38" spans="2:20" x14ac:dyDescent="0.25">
      <c r="B38" s="34">
        <v>32</v>
      </c>
      <c r="C38" s="41">
        <v>7.2900000000000005E-4</v>
      </c>
      <c r="E38" s="45">
        <v>32</v>
      </c>
      <c r="F38" s="37">
        <v>1.22E-4</v>
      </c>
      <c r="H38" s="45">
        <v>33</v>
      </c>
      <c r="I38" s="40">
        <v>1.3680000000000001E-3</v>
      </c>
      <c r="K38" s="7">
        <f t="shared" ref="K38:K52" si="36">K37+1</f>
        <v>2</v>
      </c>
      <c r="L38" s="18">
        <f t="shared" si="34"/>
        <v>5276.007773611047</v>
      </c>
      <c r="M38" s="18">
        <f t="shared" si="35"/>
        <v>8224.8038283712121</v>
      </c>
      <c r="N38" s="18">
        <f t="shared" ref="N38:N53" si="37">(K38)*$M$13</f>
        <v>300000</v>
      </c>
      <c r="P38" s="7">
        <v>2</v>
      </c>
      <c r="Q38" s="25">
        <v>2500</v>
      </c>
      <c r="R38" s="25">
        <v>500</v>
      </c>
      <c r="S38" s="25">
        <v>30</v>
      </c>
      <c r="T38" s="60" t="s">
        <v>102</v>
      </c>
    </row>
    <row r="39" spans="2:20" x14ac:dyDescent="0.25">
      <c r="B39" s="34">
        <v>33</v>
      </c>
      <c r="C39" s="41">
        <v>7.5699999999999997E-4</v>
      </c>
      <c r="E39" s="45">
        <v>33</v>
      </c>
      <c r="F39" s="38">
        <v>1.4100000000000001E-4</v>
      </c>
      <c r="H39" s="45">
        <v>34</v>
      </c>
      <c r="I39" s="39">
        <v>1.403E-3</v>
      </c>
      <c r="K39" s="7">
        <f t="shared" si="36"/>
        <v>3</v>
      </c>
      <c r="L39" s="18">
        <f t="shared" si="34"/>
        <v>4396.6731446758731</v>
      </c>
      <c r="M39" s="18">
        <f t="shared" si="35"/>
        <v>6854.0031903093422</v>
      </c>
      <c r="N39" s="18">
        <f t="shared" si="37"/>
        <v>450000</v>
      </c>
      <c r="P39" s="7">
        <v>3</v>
      </c>
      <c r="Q39" s="25">
        <v>2500</v>
      </c>
      <c r="R39" s="25">
        <v>500</v>
      </c>
      <c r="S39" s="25">
        <v>30</v>
      </c>
      <c r="T39" s="60" t="s">
        <v>102</v>
      </c>
    </row>
    <row r="40" spans="2:20" x14ac:dyDescent="0.25">
      <c r="B40" s="34">
        <v>34</v>
      </c>
      <c r="C40" s="41">
        <v>7.8799999999999996E-4</v>
      </c>
      <c r="E40" s="45">
        <v>34</v>
      </c>
      <c r="F40" s="37">
        <v>1.6200000000000001E-4</v>
      </c>
      <c r="H40" s="45">
        <v>35</v>
      </c>
      <c r="I40" s="40">
        <v>1.4400000000000001E-3</v>
      </c>
      <c r="K40" s="7">
        <f t="shared" si="36"/>
        <v>4</v>
      </c>
      <c r="L40" s="18">
        <f t="shared" si="34"/>
        <v>3517.3385157406983</v>
      </c>
      <c r="M40" s="18">
        <f t="shared" si="35"/>
        <v>5483.2025522474742</v>
      </c>
      <c r="N40" s="18">
        <f t="shared" si="37"/>
        <v>600000</v>
      </c>
      <c r="P40" s="7">
        <v>4</v>
      </c>
      <c r="Q40" s="25">
        <v>2500</v>
      </c>
      <c r="R40" s="25">
        <v>500</v>
      </c>
      <c r="S40" s="25">
        <v>30</v>
      </c>
      <c r="T40" s="60" t="s">
        <v>102</v>
      </c>
    </row>
    <row r="41" spans="2:20" x14ac:dyDescent="0.25">
      <c r="B41" s="34">
        <v>35</v>
      </c>
      <c r="C41" s="41">
        <v>8.2100000000000001E-4</v>
      </c>
      <c r="E41" s="45">
        <v>35</v>
      </c>
      <c r="F41" s="38">
        <v>1.85E-4</v>
      </c>
      <c r="H41" s="45">
        <v>36</v>
      </c>
      <c r="I41" s="39">
        <v>1.48E-3</v>
      </c>
      <c r="K41" s="7">
        <f t="shared" si="36"/>
        <v>5</v>
      </c>
      <c r="L41" s="18">
        <f t="shared" si="34"/>
        <v>2638.0038868055235</v>
      </c>
      <c r="M41" s="18">
        <f t="shared" si="35"/>
        <v>4112.4019141856061</v>
      </c>
      <c r="N41" s="18">
        <f t="shared" si="37"/>
        <v>750000</v>
      </c>
      <c r="P41" s="7">
        <v>5</v>
      </c>
      <c r="Q41" s="60" t="s">
        <v>102</v>
      </c>
      <c r="R41" s="25">
        <v>500</v>
      </c>
      <c r="S41" s="25">
        <v>30</v>
      </c>
      <c r="T41" s="60" t="s">
        <v>102</v>
      </c>
    </row>
    <row r="42" spans="2:20" x14ac:dyDescent="0.25">
      <c r="B42" s="34">
        <v>36</v>
      </c>
      <c r="C42" s="41">
        <v>8.5700000000000001E-4</v>
      </c>
      <c r="E42" s="45">
        <v>36</v>
      </c>
      <c r="F42" s="37">
        <v>2.1100000000000001E-4</v>
      </c>
      <c r="H42" s="45">
        <v>37</v>
      </c>
      <c r="I42" s="39">
        <v>1.5219999999999999E-3</v>
      </c>
      <c r="K42" s="7">
        <f t="shared" si="36"/>
        <v>6</v>
      </c>
      <c r="L42" s="18">
        <f t="shared" si="34"/>
        <v>1758.6692578703492</v>
      </c>
      <c r="M42" s="18">
        <f t="shared" si="35"/>
        <v>2741.6012761237371</v>
      </c>
      <c r="N42" s="18">
        <f t="shared" si="37"/>
        <v>900000</v>
      </c>
      <c r="P42" s="7">
        <v>6</v>
      </c>
      <c r="Q42" s="60" t="s">
        <v>102</v>
      </c>
      <c r="R42" s="25">
        <v>500</v>
      </c>
      <c r="S42" s="25">
        <v>30</v>
      </c>
      <c r="T42" s="60" t="s">
        <v>102</v>
      </c>
    </row>
    <row r="43" spans="2:20" x14ac:dyDescent="0.25">
      <c r="B43" s="34">
        <v>37</v>
      </c>
      <c r="C43" s="41">
        <v>8.9599999999999999E-4</v>
      </c>
      <c r="E43" s="45">
        <v>37</v>
      </c>
      <c r="F43" s="37">
        <v>2.4000000000000001E-4</v>
      </c>
      <c r="H43" s="45">
        <v>38</v>
      </c>
      <c r="I43" s="40">
        <v>1.567E-3</v>
      </c>
      <c r="K43" s="7">
        <f t="shared" si="36"/>
        <v>7</v>
      </c>
      <c r="L43" s="18">
        <f t="shared" si="34"/>
        <v>879.33462893517458</v>
      </c>
      <c r="M43" s="18">
        <f t="shared" si="35"/>
        <v>1370.8006380618685</v>
      </c>
      <c r="N43" s="18">
        <f t="shared" si="37"/>
        <v>1050000</v>
      </c>
      <c r="P43" s="7">
        <v>7</v>
      </c>
      <c r="Q43" s="60" t="s">
        <v>102</v>
      </c>
      <c r="R43" s="25">
        <v>500</v>
      </c>
      <c r="S43" s="25">
        <v>30</v>
      </c>
      <c r="T43" s="60" t="s">
        <v>102</v>
      </c>
    </row>
    <row r="44" spans="2:20" x14ac:dyDescent="0.25">
      <c r="B44" s="34">
        <v>38</v>
      </c>
      <c r="C44" s="41">
        <v>9.3800000000000003E-4</v>
      </c>
      <c r="E44" s="45">
        <v>38</v>
      </c>
      <c r="F44" s="38">
        <v>2.72E-4</v>
      </c>
      <c r="H44" s="45">
        <v>39</v>
      </c>
      <c r="I44" s="39">
        <v>1.614E-3</v>
      </c>
      <c r="K44" s="7">
        <f t="shared" si="36"/>
        <v>8</v>
      </c>
      <c r="L44" s="62">
        <v>0</v>
      </c>
      <c r="M44" s="62">
        <v>0</v>
      </c>
      <c r="N44" s="18">
        <f t="shared" si="37"/>
        <v>1200000</v>
      </c>
      <c r="P44" s="7">
        <v>8</v>
      </c>
      <c r="Q44" s="60" t="s">
        <v>102</v>
      </c>
      <c r="R44" s="25">
        <v>500</v>
      </c>
      <c r="S44" s="25">
        <v>30</v>
      </c>
      <c r="T44" s="60" t="s">
        <v>102</v>
      </c>
    </row>
    <row r="45" spans="2:20" x14ac:dyDescent="0.25">
      <c r="B45" s="34">
        <v>39</v>
      </c>
      <c r="C45" s="41">
        <v>9.8299999999999993E-4</v>
      </c>
      <c r="E45" s="45">
        <v>39</v>
      </c>
      <c r="F45" s="37">
        <v>3.0600000000000001E-4</v>
      </c>
      <c r="H45" s="45">
        <v>40</v>
      </c>
      <c r="I45" s="40">
        <v>1.6639999999999999E-3</v>
      </c>
      <c r="K45" s="7">
        <f t="shared" si="36"/>
        <v>9</v>
      </c>
      <c r="L45" s="62">
        <v>0</v>
      </c>
      <c r="M45" s="62">
        <v>0</v>
      </c>
      <c r="N45" s="18">
        <f t="shared" si="37"/>
        <v>1350000</v>
      </c>
      <c r="P45" s="7">
        <v>9</v>
      </c>
      <c r="Q45" s="60" t="s">
        <v>102</v>
      </c>
      <c r="R45" s="25">
        <v>500</v>
      </c>
      <c r="S45" s="25">
        <v>30</v>
      </c>
      <c r="T45" s="60" t="s">
        <v>102</v>
      </c>
    </row>
    <row r="46" spans="2:20" x14ac:dyDescent="0.25">
      <c r="B46" s="34">
        <v>40</v>
      </c>
      <c r="C46" s="41">
        <v>1.0330000000000001E-3</v>
      </c>
      <c r="E46" s="45">
        <v>40</v>
      </c>
      <c r="F46" s="38">
        <v>3.4499999999999998E-4</v>
      </c>
      <c r="H46" s="45">
        <v>41</v>
      </c>
      <c r="I46" s="39">
        <v>1.7179999999999999E-3</v>
      </c>
      <c r="K46" s="7">
        <f t="shared" si="36"/>
        <v>10</v>
      </c>
      <c r="L46" s="62">
        <v>0</v>
      </c>
      <c r="M46" s="62">
        <v>0</v>
      </c>
      <c r="N46" s="18">
        <f t="shared" si="37"/>
        <v>1500000</v>
      </c>
      <c r="P46" s="7">
        <v>10</v>
      </c>
      <c r="Q46" s="60" t="s">
        <v>102</v>
      </c>
      <c r="R46" s="25">
        <v>500</v>
      </c>
      <c r="S46" s="25">
        <v>30</v>
      </c>
      <c r="T46" s="60" t="s">
        <v>102</v>
      </c>
    </row>
    <row r="47" spans="2:20" x14ac:dyDescent="0.25">
      <c r="B47" s="34">
        <v>41</v>
      </c>
      <c r="C47" s="41">
        <v>1.0870000000000001E-3</v>
      </c>
      <c r="E47" s="45">
        <v>41</v>
      </c>
      <c r="F47" s="37">
        <v>3.8699999999999997E-4</v>
      </c>
      <c r="H47" s="45">
        <v>42</v>
      </c>
      <c r="I47" s="40">
        <v>1.7750000000000001E-3</v>
      </c>
      <c r="K47" s="7">
        <f t="shared" si="36"/>
        <v>11</v>
      </c>
      <c r="L47" s="62">
        <v>0</v>
      </c>
      <c r="M47" s="62">
        <v>0</v>
      </c>
      <c r="N47" s="18">
        <f t="shared" si="37"/>
        <v>1650000</v>
      </c>
      <c r="P47" s="7">
        <v>11</v>
      </c>
      <c r="Q47" s="60" t="s">
        <v>102</v>
      </c>
      <c r="R47" s="25">
        <v>500</v>
      </c>
      <c r="S47" s="25">
        <v>30</v>
      </c>
      <c r="T47" s="60" t="s">
        <v>102</v>
      </c>
    </row>
    <row r="48" spans="2:20" x14ac:dyDescent="0.25">
      <c r="B48" s="34">
        <v>42</v>
      </c>
      <c r="C48" s="41">
        <v>1.145E-3</v>
      </c>
      <c r="E48" s="45">
        <v>42</v>
      </c>
      <c r="F48" s="38">
        <v>4.3300000000000001E-4</v>
      </c>
      <c r="H48" s="45">
        <v>43</v>
      </c>
      <c r="I48" s="39">
        <v>1.835E-3</v>
      </c>
      <c r="K48" s="7">
        <f t="shared" si="36"/>
        <v>12</v>
      </c>
      <c r="L48" s="62">
        <v>0</v>
      </c>
      <c r="M48" s="62">
        <v>0</v>
      </c>
      <c r="N48" s="18">
        <f t="shared" si="37"/>
        <v>1800000</v>
      </c>
      <c r="P48" s="7">
        <v>12</v>
      </c>
      <c r="Q48" s="60" t="s">
        <v>102</v>
      </c>
      <c r="R48" s="25">
        <v>500</v>
      </c>
      <c r="S48" s="25">
        <v>30</v>
      </c>
      <c r="T48" s="60" t="s">
        <v>102</v>
      </c>
    </row>
    <row r="49" spans="2:20" x14ac:dyDescent="0.25">
      <c r="B49" s="34">
        <v>43</v>
      </c>
      <c r="C49" s="41">
        <v>1.2080000000000001E-3</v>
      </c>
      <c r="E49" s="45">
        <v>43</v>
      </c>
      <c r="F49" s="37">
        <v>4.84E-4</v>
      </c>
      <c r="H49" s="45">
        <v>44</v>
      </c>
      <c r="I49" s="40">
        <v>1.9E-3</v>
      </c>
      <c r="K49" s="7">
        <f>K48+1</f>
        <v>13</v>
      </c>
      <c r="L49" s="62">
        <v>0</v>
      </c>
      <c r="M49" s="62">
        <v>0</v>
      </c>
      <c r="N49" s="18">
        <f t="shared" si="37"/>
        <v>1950000</v>
      </c>
      <c r="P49" s="7">
        <v>13</v>
      </c>
      <c r="Q49" s="60" t="s">
        <v>102</v>
      </c>
      <c r="R49" s="25">
        <v>500</v>
      </c>
      <c r="S49" s="25">
        <v>30</v>
      </c>
      <c r="T49" s="60" t="s">
        <v>102</v>
      </c>
    </row>
    <row r="50" spans="2:20" x14ac:dyDescent="0.25">
      <c r="B50" s="34">
        <v>44</v>
      </c>
      <c r="C50" s="41">
        <v>1.2780000000000001E-3</v>
      </c>
      <c r="E50" s="45">
        <v>44</v>
      </c>
      <c r="F50" s="38">
        <v>5.3899999999999998E-4</v>
      </c>
      <c r="H50" s="45">
        <v>45</v>
      </c>
      <c r="I50" s="39">
        <v>1.9680000000000001E-3</v>
      </c>
      <c r="K50" s="7">
        <f t="shared" si="36"/>
        <v>14</v>
      </c>
      <c r="L50" s="62">
        <v>0</v>
      </c>
      <c r="M50" s="62">
        <v>0</v>
      </c>
      <c r="N50" s="18">
        <f t="shared" si="37"/>
        <v>2100000</v>
      </c>
      <c r="P50" s="7">
        <v>14</v>
      </c>
      <c r="Q50" s="60" t="s">
        <v>102</v>
      </c>
      <c r="R50" s="25">
        <v>500</v>
      </c>
      <c r="S50" s="25">
        <v>30</v>
      </c>
      <c r="T50" s="60" t="s">
        <v>102</v>
      </c>
    </row>
    <row r="51" spans="2:20" x14ac:dyDescent="0.25">
      <c r="B51" s="34">
        <v>45</v>
      </c>
      <c r="C51" s="41">
        <v>1.353E-3</v>
      </c>
      <c r="E51" s="45">
        <v>45</v>
      </c>
      <c r="F51" s="37">
        <v>5.9900000000000003E-4</v>
      </c>
      <c r="H51" s="45">
        <v>46</v>
      </c>
      <c r="I51" s="40">
        <v>2.0409999999999998E-3</v>
      </c>
      <c r="K51" s="7">
        <f t="shared" si="36"/>
        <v>15</v>
      </c>
      <c r="L51" s="62">
        <v>0</v>
      </c>
      <c r="M51" s="62">
        <v>0</v>
      </c>
      <c r="N51" s="18">
        <f t="shared" si="37"/>
        <v>2250000</v>
      </c>
      <c r="P51" s="7">
        <v>15</v>
      </c>
      <c r="Q51" s="60" t="s">
        <v>102</v>
      </c>
      <c r="R51" s="25">
        <v>500</v>
      </c>
      <c r="S51" s="25">
        <v>30</v>
      </c>
      <c r="T51" s="60" t="s">
        <v>102</v>
      </c>
    </row>
    <row r="52" spans="2:20" x14ac:dyDescent="0.25">
      <c r="B52" s="34">
        <v>46</v>
      </c>
      <c r="C52" s="41">
        <v>1.4350000000000001E-3</v>
      </c>
      <c r="E52" s="45">
        <v>46</v>
      </c>
      <c r="F52" s="38">
        <v>6.6500000000000001E-4</v>
      </c>
      <c r="H52" s="45">
        <v>47</v>
      </c>
      <c r="I52" s="39">
        <v>2.1180000000000001E-3</v>
      </c>
      <c r="K52" s="7">
        <f t="shared" si="36"/>
        <v>16</v>
      </c>
      <c r="L52" s="62">
        <v>0</v>
      </c>
      <c r="M52" s="62">
        <v>0</v>
      </c>
      <c r="N52" s="18">
        <f t="shared" si="37"/>
        <v>2400000</v>
      </c>
      <c r="P52" s="7">
        <v>16</v>
      </c>
      <c r="Q52" s="60" t="s">
        <v>102</v>
      </c>
      <c r="R52" s="25">
        <v>500</v>
      </c>
      <c r="S52" s="25">
        <v>30</v>
      </c>
      <c r="T52" s="60" t="s">
        <v>102</v>
      </c>
    </row>
    <row r="53" spans="2:20" x14ac:dyDescent="0.25">
      <c r="B53" s="34">
        <v>47</v>
      </c>
      <c r="C53" s="41">
        <v>1.5250000000000001E-3</v>
      </c>
      <c r="E53" s="45">
        <v>47</v>
      </c>
      <c r="F53" s="37">
        <v>7.36E-4</v>
      </c>
      <c r="H53" s="45">
        <v>48</v>
      </c>
      <c r="I53" s="40">
        <v>2.2009999999999998E-3</v>
      </c>
      <c r="K53" s="7">
        <f>K52+1</f>
        <v>17</v>
      </c>
      <c r="L53" s="62">
        <v>0</v>
      </c>
      <c r="M53" s="62">
        <v>0</v>
      </c>
      <c r="N53" s="18">
        <f t="shared" si="37"/>
        <v>2550000</v>
      </c>
      <c r="P53" s="7">
        <v>17</v>
      </c>
      <c r="Q53" s="60" t="s">
        <v>102</v>
      </c>
      <c r="R53" s="25">
        <v>500</v>
      </c>
      <c r="S53" s="25">
        <v>30</v>
      </c>
      <c r="T53" s="60" t="s">
        <v>102</v>
      </c>
    </row>
    <row r="54" spans="2:20" x14ac:dyDescent="0.25">
      <c r="B54" s="34">
        <v>48</v>
      </c>
      <c r="C54" s="41">
        <v>1.6230000000000001E-3</v>
      </c>
      <c r="E54" s="45">
        <v>48</v>
      </c>
      <c r="F54" s="38">
        <v>8.12E-4</v>
      </c>
      <c r="H54" s="45">
        <v>49</v>
      </c>
      <c r="I54" s="39">
        <v>2.2889999999999998E-3</v>
      </c>
      <c r="K54" s="65" t="s">
        <v>110</v>
      </c>
      <c r="L54" s="18">
        <f>SUM(L36:L53)</f>
        <v>31656.046641666286</v>
      </c>
      <c r="M54" s="18">
        <f>SUM(M36:M53)</f>
        <v>49348.822970227266</v>
      </c>
    </row>
    <row r="55" spans="2:20" x14ac:dyDescent="0.25">
      <c r="B55" s="34">
        <v>49</v>
      </c>
      <c r="C55" s="41">
        <v>1.73E-3</v>
      </c>
      <c r="E55" s="45">
        <v>49</v>
      </c>
      <c r="F55" s="37">
        <v>8.9599999999999999E-4</v>
      </c>
      <c r="H55" s="45">
        <v>50</v>
      </c>
      <c r="I55" s="40">
        <v>2.382E-3</v>
      </c>
      <c r="O55" s="64"/>
    </row>
    <row r="56" spans="2:20" x14ac:dyDescent="0.25">
      <c r="B56" s="34">
        <v>50</v>
      </c>
      <c r="C56" s="41">
        <v>1.848E-3</v>
      </c>
      <c r="E56" s="45">
        <v>50</v>
      </c>
      <c r="F56" s="38">
        <v>9.8499999999999998E-4</v>
      </c>
      <c r="H56" s="45">
        <v>51</v>
      </c>
      <c r="I56" s="39">
        <v>2.4819999999999998E-3</v>
      </c>
    </row>
    <row r="57" spans="2:20" x14ac:dyDescent="0.25">
      <c r="B57" s="34">
        <v>51</v>
      </c>
      <c r="C57" s="41">
        <v>1.977E-3</v>
      </c>
      <c r="E57" s="45">
        <v>51</v>
      </c>
      <c r="F57" s="37">
        <v>1.0820000000000001E-3</v>
      </c>
      <c r="H57" s="45">
        <v>52</v>
      </c>
      <c r="I57" s="40">
        <v>2.588E-3</v>
      </c>
    </row>
    <row r="58" spans="2:20" x14ac:dyDescent="0.25">
      <c r="B58" s="34">
        <v>52</v>
      </c>
      <c r="C58" s="41">
        <v>2.1189999999999998E-3</v>
      </c>
      <c r="E58" s="45">
        <v>52</v>
      </c>
      <c r="F58" s="38">
        <v>1.1869999999999999E-3</v>
      </c>
      <c r="H58" s="45">
        <v>53</v>
      </c>
      <c r="I58" s="39">
        <v>2.702E-3</v>
      </c>
    </row>
    <row r="59" spans="2:20" x14ac:dyDescent="0.25">
      <c r="B59" s="34">
        <v>53</v>
      </c>
      <c r="C59" s="41">
        <v>2.274E-3</v>
      </c>
      <c r="E59" s="45">
        <v>53</v>
      </c>
      <c r="F59" s="37">
        <v>1.299E-3</v>
      </c>
      <c r="H59" s="45">
        <v>54</v>
      </c>
      <c r="I59" s="40">
        <v>2.823E-3</v>
      </c>
    </row>
    <row r="60" spans="2:20" x14ac:dyDescent="0.25">
      <c r="B60" s="34">
        <v>54</v>
      </c>
      <c r="C60" s="41">
        <v>2.4459999999999998E-3</v>
      </c>
      <c r="E60" s="45">
        <v>54</v>
      </c>
      <c r="F60" s="38">
        <v>1.42E-3</v>
      </c>
      <c r="H60" s="45">
        <v>55</v>
      </c>
      <c r="I60" s="39">
        <v>2.9529999999999999E-3</v>
      </c>
    </row>
    <row r="61" spans="2:20" x14ac:dyDescent="0.25">
      <c r="B61" s="34">
        <v>55</v>
      </c>
      <c r="C61" s="41">
        <v>2.6350000000000002E-3</v>
      </c>
      <c r="E61" s="45">
        <v>55</v>
      </c>
      <c r="F61" s="37">
        <v>1.549E-3</v>
      </c>
      <c r="H61" s="45">
        <v>56</v>
      </c>
      <c r="I61" s="40">
        <v>3.091E-3</v>
      </c>
    </row>
    <row r="62" spans="2:20" x14ac:dyDescent="0.25">
      <c r="B62" s="34">
        <v>56</v>
      </c>
      <c r="C62" s="41">
        <v>2.8440000000000002E-3</v>
      </c>
      <c r="E62" s="45">
        <v>56</v>
      </c>
      <c r="F62" s="38">
        <v>1.688E-3</v>
      </c>
      <c r="H62" s="45">
        <v>57</v>
      </c>
      <c r="I62" s="39">
        <v>3.2390000000000001E-3</v>
      </c>
    </row>
    <row r="63" spans="2:20" x14ac:dyDescent="0.25">
      <c r="B63" s="34">
        <v>57</v>
      </c>
      <c r="C63" s="41">
        <v>3.0739999999999999E-3</v>
      </c>
      <c r="E63" s="45">
        <v>57</v>
      </c>
      <c r="F63" s="37">
        <v>1.8370000000000001E-3</v>
      </c>
      <c r="H63" s="45">
        <v>58</v>
      </c>
      <c r="I63" s="40">
        <v>3.398E-3</v>
      </c>
    </row>
    <row r="64" spans="2:20" x14ac:dyDescent="0.25">
      <c r="B64" s="34">
        <v>58</v>
      </c>
      <c r="C64" s="41">
        <v>3.3289999999999999E-3</v>
      </c>
      <c r="E64" s="45">
        <v>58</v>
      </c>
      <c r="F64" s="38">
        <v>1.9959999999999999E-3</v>
      </c>
      <c r="H64" s="45">
        <v>59</v>
      </c>
      <c r="I64" s="39">
        <v>3.5669999999999999E-3</v>
      </c>
    </row>
    <row r="65" spans="2:13" x14ac:dyDescent="0.25">
      <c r="B65" s="34">
        <v>59</v>
      </c>
      <c r="C65" s="41">
        <v>3.6120000000000002E-3</v>
      </c>
      <c r="E65" s="45">
        <v>59</v>
      </c>
      <c r="F65" s="37">
        <v>2.166E-3</v>
      </c>
      <c r="H65" s="45">
        <v>60</v>
      </c>
      <c r="I65" s="40">
        <v>3.7490000000000002E-3</v>
      </c>
    </row>
    <row r="66" spans="2:13" x14ac:dyDescent="0.25">
      <c r="B66" s="34">
        <v>60</v>
      </c>
      <c r="C66" s="41">
        <v>3.9259999999999998E-3</v>
      </c>
      <c r="E66" s="45">
        <v>60</v>
      </c>
      <c r="F66" s="38">
        <v>2.3470000000000001E-3</v>
      </c>
      <c r="H66" s="45">
        <v>61</v>
      </c>
      <c r="I66" s="39">
        <v>3.9439999999999996E-3</v>
      </c>
    </row>
    <row r="67" spans="2:13" x14ac:dyDescent="0.25">
      <c r="B67" s="34">
        <v>61</v>
      </c>
      <c r="C67" s="41">
        <v>4.2750000000000002E-3</v>
      </c>
      <c r="E67" s="45">
        <v>61</v>
      </c>
      <c r="F67" s="37">
        <v>2.5400000000000002E-3</v>
      </c>
      <c r="H67" s="45">
        <v>62</v>
      </c>
      <c r="I67" s="40">
        <v>4.1529999999999996E-3</v>
      </c>
    </row>
    <row r="68" spans="2:13" x14ac:dyDescent="0.25">
      <c r="B68" s="34">
        <v>62</v>
      </c>
      <c r="C68" s="41">
        <v>4.6639999999999997E-3</v>
      </c>
      <c r="E68" s="45">
        <v>62</v>
      </c>
      <c r="F68" s="38">
        <v>2.7460000000000002E-3</v>
      </c>
      <c r="H68" s="45">
        <v>63</v>
      </c>
      <c r="I68" s="39">
        <v>4.3769999999999998E-3</v>
      </c>
    </row>
    <row r="69" spans="2:13" x14ac:dyDescent="0.25">
      <c r="B69" s="34">
        <v>63</v>
      </c>
      <c r="C69" s="41">
        <v>5.0959999999999998E-3</v>
      </c>
      <c r="E69" s="45">
        <v>63</v>
      </c>
      <c r="F69" s="37">
        <v>2.9650000000000002E-3</v>
      </c>
      <c r="H69" s="45">
        <v>64</v>
      </c>
      <c r="I69" s="40">
        <v>4.6179999999999997E-3</v>
      </c>
    </row>
    <row r="70" spans="2:13" x14ac:dyDescent="0.25">
      <c r="B70" s="34">
        <v>64</v>
      </c>
      <c r="C70" s="41">
        <v>5.5789999999999998E-3</v>
      </c>
      <c r="E70" s="45">
        <v>64</v>
      </c>
      <c r="F70" s="38">
        <v>3.1970000000000002E-3</v>
      </c>
      <c r="H70" s="45">
        <v>65</v>
      </c>
      <c r="I70" s="39">
        <v>4.8770000000000003E-3</v>
      </c>
    </row>
    <row r="71" spans="2:13" x14ac:dyDescent="0.25">
      <c r="B71" s="34">
        <v>65</v>
      </c>
      <c r="C71" s="41">
        <v>6.1190000000000003E-3</v>
      </c>
      <c r="E71" s="45">
        <v>65</v>
      </c>
      <c r="F71" s="37">
        <v>3.4450000000000001E-3</v>
      </c>
      <c r="H71" s="45">
        <v>66</v>
      </c>
      <c r="I71" s="40">
        <v>5.156E-3</v>
      </c>
    </row>
    <row r="72" spans="2:13" x14ac:dyDescent="0.25">
      <c r="B72" s="34">
        <v>66</v>
      </c>
      <c r="C72" s="41">
        <v>6.7229999999999998E-3</v>
      </c>
      <c r="E72" s="45">
        <v>66</v>
      </c>
      <c r="F72" s="38">
        <v>3.7069999999999998E-3</v>
      </c>
      <c r="H72" s="45">
        <v>67</v>
      </c>
      <c r="I72" s="39">
        <v>5.4559999999999999E-3</v>
      </c>
    </row>
    <row r="73" spans="2:13" x14ac:dyDescent="0.25">
      <c r="B73" s="34">
        <v>67</v>
      </c>
      <c r="C73" s="41">
        <v>7.4000000000000003E-3</v>
      </c>
      <c r="E73" s="45">
        <v>67</v>
      </c>
      <c r="F73" s="37">
        <v>3.9849999999999998E-3</v>
      </c>
      <c r="H73" s="45">
        <v>68</v>
      </c>
      <c r="I73" s="40">
        <v>5.7790000000000003E-3</v>
      </c>
    </row>
    <row r="74" spans="2:13" x14ac:dyDescent="0.25">
      <c r="B74" s="34">
        <v>68</v>
      </c>
      <c r="C74" s="41">
        <v>8.1600000000000006E-3</v>
      </c>
      <c r="E74" s="45">
        <v>68</v>
      </c>
      <c r="F74" s="38">
        <v>4.2789999999999998E-3</v>
      </c>
      <c r="H74" s="45">
        <v>69</v>
      </c>
      <c r="I74" s="39">
        <v>6.1269999999999996E-3</v>
      </c>
    </row>
    <row r="75" spans="2:13" x14ac:dyDescent="0.25">
      <c r="B75" s="34">
        <v>69</v>
      </c>
      <c r="C75" s="41">
        <v>9.0150000000000004E-3</v>
      </c>
      <c r="E75" s="45">
        <v>69</v>
      </c>
      <c r="F75" s="37">
        <v>4.5900000000000003E-3</v>
      </c>
      <c r="H75" s="45">
        <v>70</v>
      </c>
      <c r="I75" s="40">
        <v>6.5030000000000001E-3</v>
      </c>
    </row>
    <row r="76" spans="2:13" x14ac:dyDescent="0.25">
      <c r="B76" s="34">
        <v>70</v>
      </c>
      <c r="C76" s="41">
        <v>9.9769999999999998E-3</v>
      </c>
      <c r="E76" s="45">
        <v>70</v>
      </c>
      <c r="F76" s="38">
        <v>4.9199999999999999E-3</v>
      </c>
      <c r="H76" s="45">
        <v>71</v>
      </c>
      <c r="I76" s="39">
        <v>6.9080000000000001E-3</v>
      </c>
    </row>
    <row r="77" spans="2:13" x14ac:dyDescent="0.25">
      <c r="B77" s="34">
        <v>71</v>
      </c>
      <c r="C77" s="41">
        <v>1.1061E-2</v>
      </c>
      <c r="E77" s="45">
        <v>71</v>
      </c>
      <c r="F77" s="37">
        <v>5.2680000000000001E-3</v>
      </c>
      <c r="H77" s="45">
        <v>72</v>
      </c>
      <c r="I77" s="40">
        <v>7.3460000000000001E-3</v>
      </c>
      <c r="K77" s="63"/>
      <c r="L77" s="63"/>
      <c r="M77" s="63"/>
    </row>
    <row r="78" spans="2:13" x14ac:dyDescent="0.25">
      <c r="B78" s="34">
        <v>72</v>
      </c>
      <c r="C78" s="41">
        <v>1.2285000000000001E-2</v>
      </c>
      <c r="E78" s="45">
        <v>72</v>
      </c>
      <c r="F78" s="38">
        <v>5.6350000000000003E-3</v>
      </c>
      <c r="H78" s="45">
        <v>73</v>
      </c>
      <c r="I78" s="39">
        <v>7.8189999999999996E-3</v>
      </c>
    </row>
    <row r="79" spans="2:13" x14ac:dyDescent="0.25">
      <c r="B79" s="34">
        <v>73</v>
      </c>
      <c r="C79" s="41">
        <v>1.3668E-2</v>
      </c>
      <c r="E79" s="45">
        <v>73</v>
      </c>
      <c r="F79" s="37">
        <v>6.0229999999999997E-3</v>
      </c>
      <c r="H79" s="45">
        <v>74</v>
      </c>
      <c r="I79" s="39">
        <v>8.3309999999999999E-3</v>
      </c>
    </row>
    <row r="80" spans="2:13" x14ac:dyDescent="0.25">
      <c r="B80" s="34">
        <v>74</v>
      </c>
      <c r="C80" s="41">
        <v>1.5235E-2</v>
      </c>
      <c r="E80" s="45">
        <v>74</v>
      </c>
      <c r="F80" s="37">
        <v>6.4320000000000002E-3</v>
      </c>
      <c r="H80" s="45">
        <v>75</v>
      </c>
      <c r="I80" s="40">
        <v>8.8850000000000005E-3</v>
      </c>
    </row>
    <row r="81" spans="2:9" x14ac:dyDescent="0.25">
      <c r="B81" s="34">
        <v>75</v>
      </c>
      <c r="C81" s="41">
        <v>1.7009E-2</v>
      </c>
      <c r="E81" s="45">
        <v>75</v>
      </c>
      <c r="F81" s="38">
        <v>6.862E-3</v>
      </c>
      <c r="H81" s="45">
        <v>76</v>
      </c>
      <c r="I81" s="39">
        <v>9.4859999999999996E-3</v>
      </c>
    </row>
    <row r="82" spans="2:9" x14ac:dyDescent="0.25">
      <c r="B82" s="34">
        <v>76</v>
      </c>
      <c r="C82" s="41">
        <v>1.9023999999999999E-2</v>
      </c>
      <c r="E82" s="45">
        <v>76</v>
      </c>
      <c r="F82" s="37">
        <v>7.3159999999999996E-3</v>
      </c>
      <c r="H82" s="45">
        <v>77</v>
      </c>
      <c r="I82" s="40">
        <v>1.0137E-2</v>
      </c>
    </row>
    <row r="83" spans="2:9" x14ac:dyDescent="0.25">
      <c r="B83" s="34">
        <v>77</v>
      </c>
      <c r="C83" s="41">
        <v>2.1312000000000001E-2</v>
      </c>
      <c r="E83" s="45">
        <v>77</v>
      </c>
      <c r="F83" s="38">
        <v>7.7929999999999996E-3</v>
      </c>
      <c r="H83" s="45">
        <v>78</v>
      </c>
      <c r="I83" s="39">
        <v>1.0843E-2</v>
      </c>
    </row>
    <row r="84" spans="2:9" x14ac:dyDescent="0.25">
      <c r="B84" s="34">
        <v>78</v>
      </c>
      <c r="C84" s="41">
        <v>2.3914999999999999E-2</v>
      </c>
      <c r="E84" s="45">
        <v>78</v>
      </c>
      <c r="F84" s="37">
        <v>8.2939999999999993E-3</v>
      </c>
      <c r="H84" s="45">
        <v>79</v>
      </c>
      <c r="I84" s="40">
        <v>1.1609E-2</v>
      </c>
    </row>
    <row r="85" spans="2:9" x14ac:dyDescent="0.25">
      <c r="B85" s="34">
        <v>79</v>
      </c>
      <c r="C85" s="41">
        <v>2.6879E-2</v>
      </c>
      <c r="E85" s="45">
        <v>79</v>
      </c>
      <c r="F85" s="38">
        <v>8.8210000000000007E-3</v>
      </c>
      <c r="H85" s="45">
        <v>80</v>
      </c>
      <c r="I85" s="39">
        <v>1.2442E-2</v>
      </c>
    </row>
    <row r="86" spans="2:9" x14ac:dyDescent="0.25">
      <c r="B86" s="34">
        <v>80</v>
      </c>
      <c r="C86" s="41">
        <v>3.0256999999999999E-2</v>
      </c>
      <c r="E86" s="45">
        <v>80</v>
      </c>
      <c r="F86" s="37">
        <v>9.3740000000000004E-3</v>
      </c>
      <c r="H86" s="45">
        <v>81</v>
      </c>
      <c r="I86" s="40">
        <v>1.3346999999999999E-2</v>
      </c>
    </row>
    <row r="87" spans="2:9" x14ac:dyDescent="0.25">
      <c r="B87" s="34">
        <v>81</v>
      </c>
      <c r="C87" s="41">
        <v>3.4110000000000001E-2</v>
      </c>
      <c r="E87" s="45">
        <v>81</v>
      </c>
      <c r="F87" s="38">
        <v>9.9550000000000003E-3</v>
      </c>
      <c r="H87" s="45">
        <v>82</v>
      </c>
      <c r="I87" s="39">
        <v>1.4331999999999999E-2</v>
      </c>
    </row>
    <row r="88" spans="2:9" x14ac:dyDescent="0.25">
      <c r="B88" s="34">
        <v>82</v>
      </c>
      <c r="C88" s="41">
        <v>3.8509000000000002E-2</v>
      </c>
      <c r="E88" s="45">
        <v>82</v>
      </c>
      <c r="F88" s="37">
        <v>1.0562999999999999E-2</v>
      </c>
      <c r="H88" s="45">
        <v>83</v>
      </c>
      <c r="I88" s="40">
        <v>1.5403999999999999E-2</v>
      </c>
    </row>
    <row r="89" spans="2:9" x14ac:dyDescent="0.25">
      <c r="B89" s="34">
        <v>83</v>
      </c>
      <c r="C89" s="41">
        <v>4.3533000000000002E-2</v>
      </c>
      <c r="E89" s="45">
        <v>83</v>
      </c>
      <c r="F89" s="38">
        <v>1.1200999999999999E-2</v>
      </c>
      <c r="H89" s="45">
        <v>84</v>
      </c>
      <c r="I89" s="39">
        <v>1.6573000000000001E-2</v>
      </c>
    </row>
    <row r="90" spans="2:9" x14ac:dyDescent="0.25">
      <c r="B90" s="34">
        <v>84</v>
      </c>
      <c r="C90" s="41">
        <v>4.9273999999999998E-2</v>
      </c>
      <c r="E90" s="45">
        <v>84</v>
      </c>
      <c r="F90" s="37">
        <v>1.187E-2</v>
      </c>
      <c r="H90" s="45">
        <v>85</v>
      </c>
      <c r="I90" s="40">
        <v>1.7846000000000001E-2</v>
      </c>
    </row>
    <row r="91" spans="2:9" x14ac:dyDescent="0.25">
      <c r="B91" s="34">
        <v>85</v>
      </c>
      <c r="C91" s="41">
        <v>5.5833000000000001E-2</v>
      </c>
      <c r="E91" s="45">
        <v>85</v>
      </c>
      <c r="F91" s="38">
        <v>1.2569E-2</v>
      </c>
      <c r="H91" s="45">
        <v>86</v>
      </c>
      <c r="I91" s="39">
        <v>1.9234999999999999E-2</v>
      </c>
    </row>
    <row r="92" spans="2:9" x14ac:dyDescent="0.25">
      <c r="B92" s="34">
        <v>86</v>
      </c>
      <c r="C92" s="41">
        <v>6.3328999999999996E-2</v>
      </c>
      <c r="E92" s="45">
        <v>86</v>
      </c>
      <c r="F92" s="37">
        <v>1.3301E-2</v>
      </c>
      <c r="H92" s="45">
        <v>87</v>
      </c>
      <c r="I92" s="40">
        <v>2.0752E-2</v>
      </c>
    </row>
    <row r="93" spans="2:9" x14ac:dyDescent="0.25">
      <c r="B93" s="34">
        <v>87</v>
      </c>
      <c r="C93" s="41">
        <v>7.1888999999999995E-2</v>
      </c>
      <c r="E93" s="45">
        <v>87</v>
      </c>
      <c r="F93" s="38">
        <v>1.4066E-2</v>
      </c>
      <c r="H93" s="45">
        <v>88</v>
      </c>
      <c r="I93" s="39">
        <v>2.2408000000000001E-2</v>
      </c>
    </row>
    <row r="94" spans="2:9" x14ac:dyDescent="0.25">
      <c r="B94" s="34">
        <v>88</v>
      </c>
      <c r="C94" s="41">
        <v>8.1659999999999996E-2</v>
      </c>
      <c r="E94" s="45">
        <v>88</v>
      </c>
      <c r="F94" s="37">
        <v>1.4866000000000001E-2</v>
      </c>
      <c r="H94" s="45">
        <v>89</v>
      </c>
      <c r="I94" s="40">
        <v>2.4218E-2</v>
      </c>
    </row>
    <row r="95" spans="2:9" x14ac:dyDescent="0.25">
      <c r="B95" s="34">
        <v>89</v>
      </c>
      <c r="C95" s="41">
        <v>9.2798000000000005E-2</v>
      </c>
      <c r="E95" s="45">
        <v>89</v>
      </c>
      <c r="F95" s="38">
        <v>1.5701E-2</v>
      </c>
      <c r="H95" s="45">
        <v>90</v>
      </c>
      <c r="I95" s="39">
        <v>2.6197999999999999E-2</v>
      </c>
    </row>
    <row r="96" spans="2:9" x14ac:dyDescent="0.25">
      <c r="B96" s="34">
        <v>90</v>
      </c>
      <c r="C96" s="41">
        <v>0.105476</v>
      </c>
      <c r="E96" s="45">
        <v>90</v>
      </c>
      <c r="F96" s="37">
        <v>1.6573000000000001E-2</v>
      </c>
      <c r="H96" s="45">
        <v>91</v>
      </c>
      <c r="I96" s="40">
        <v>2.8364E-2</v>
      </c>
    </row>
    <row r="97" spans="2:9" x14ac:dyDescent="0.25">
      <c r="B97" s="34">
        <v>91</v>
      </c>
      <c r="C97" s="41">
        <v>0.119875</v>
      </c>
      <c r="E97" s="45">
        <v>91</v>
      </c>
      <c r="F97" s="38">
        <v>1.7482999999999999E-2</v>
      </c>
      <c r="H97" s="45">
        <v>92</v>
      </c>
      <c r="I97" s="39">
        <v>3.0734000000000001E-2</v>
      </c>
    </row>
    <row r="98" spans="2:9" x14ac:dyDescent="0.25">
      <c r="B98" s="34">
        <v>92</v>
      </c>
      <c r="C98" s="41">
        <v>0.136184</v>
      </c>
      <c r="E98" s="45">
        <v>92</v>
      </c>
      <c r="F98" s="37">
        <v>1.8432E-2</v>
      </c>
      <c r="H98" s="45">
        <v>93</v>
      </c>
      <c r="I98" s="40">
        <v>3.3331E-2</v>
      </c>
    </row>
    <row r="99" spans="2:9" x14ac:dyDescent="0.25">
      <c r="B99" s="34">
        <v>93</v>
      </c>
      <c r="C99" s="41">
        <v>0.15459400000000001</v>
      </c>
      <c r="E99" s="45">
        <v>93</v>
      </c>
      <c r="F99" s="38">
        <v>1.9421000000000001E-2</v>
      </c>
      <c r="H99" s="45">
        <v>94</v>
      </c>
      <c r="I99" s="39">
        <v>3.6176E-2</v>
      </c>
    </row>
    <row r="100" spans="2:9" x14ac:dyDescent="0.25">
      <c r="B100" s="34">
        <v>94</v>
      </c>
      <c r="C100" s="41">
        <v>0.175291</v>
      </c>
      <c r="E100" s="45">
        <v>94</v>
      </c>
      <c r="F100" s="37">
        <v>2.0451E-2</v>
      </c>
      <c r="H100" s="45">
        <v>95</v>
      </c>
      <c r="I100" s="40">
        <v>3.9294000000000003E-2</v>
      </c>
    </row>
    <row r="101" spans="2:9" x14ac:dyDescent="0.25">
      <c r="B101" s="34">
        <v>95</v>
      </c>
      <c r="C101" s="41">
        <v>0.19844100000000001</v>
      </c>
      <c r="E101" s="45">
        <v>95</v>
      </c>
      <c r="F101" s="38">
        <v>2.1523E-2</v>
      </c>
      <c r="H101" s="45">
        <v>96</v>
      </c>
      <c r="I101" s="39">
        <v>4.2712E-2</v>
      </c>
    </row>
    <row r="102" spans="2:9" x14ac:dyDescent="0.25">
      <c r="B102" s="34">
        <v>96</v>
      </c>
      <c r="C102" s="41">
        <v>0.22418399999999999</v>
      </c>
      <c r="E102" s="45">
        <v>96</v>
      </c>
      <c r="F102" s="37">
        <v>2.2638999999999999E-2</v>
      </c>
      <c r="H102" s="45">
        <v>97</v>
      </c>
      <c r="I102" s="40">
        <v>4.6461000000000002E-2</v>
      </c>
    </row>
    <row r="103" spans="2:9" x14ac:dyDescent="0.25">
      <c r="B103" s="34">
        <v>97</v>
      </c>
      <c r="C103" s="41">
        <v>0.25261299999999998</v>
      </c>
      <c r="E103" s="45">
        <v>97</v>
      </c>
      <c r="F103" s="38">
        <v>2.3800000000000002E-2</v>
      </c>
      <c r="H103" s="45">
        <v>98</v>
      </c>
      <c r="I103" s="39">
        <v>5.0574000000000001E-2</v>
      </c>
    </row>
    <row r="104" spans="2:9" x14ac:dyDescent="0.25">
      <c r="B104" s="34">
        <v>98</v>
      </c>
      <c r="C104" s="41">
        <v>0.28376000000000001</v>
      </c>
      <c r="E104" s="45">
        <v>98</v>
      </c>
      <c r="F104" s="37">
        <v>2.5006E-2</v>
      </c>
      <c r="H104" s="45">
        <v>99</v>
      </c>
      <c r="I104" s="40">
        <v>5.5085000000000002E-2</v>
      </c>
    </row>
    <row r="105" spans="2:9" x14ac:dyDescent="0.25">
      <c r="B105" s="34">
        <v>99</v>
      </c>
      <c r="C105" s="41">
        <v>0.31757600000000002</v>
      </c>
      <c r="E105" s="45">
        <v>99</v>
      </c>
      <c r="F105" s="38">
        <v>2.6259999999999999E-2</v>
      </c>
      <c r="H105" s="45">
        <v>100</v>
      </c>
      <c r="I105" s="39">
        <v>6.0033999999999997E-2</v>
      </c>
    </row>
    <row r="106" spans="2:9" x14ac:dyDescent="0.25">
      <c r="B106" s="34">
        <v>100</v>
      </c>
      <c r="C106" s="41">
        <v>0.35391899999999998</v>
      </c>
      <c r="E106" s="45">
        <v>100</v>
      </c>
      <c r="F106" s="37">
        <v>2.7563000000000001E-2</v>
      </c>
      <c r="H106" s="45">
        <v>101</v>
      </c>
      <c r="I106" s="40">
        <v>6.5462999999999993E-2</v>
      </c>
    </row>
    <row r="107" spans="2:9" x14ac:dyDescent="0.25">
      <c r="B107" s="34">
        <v>101</v>
      </c>
      <c r="C107" s="41">
        <v>0.39254</v>
      </c>
      <c r="E107" s="45">
        <v>101</v>
      </c>
      <c r="F107" s="38">
        <v>2.8915E-2</v>
      </c>
      <c r="H107" s="45">
        <v>102</v>
      </c>
      <c r="I107" s="39">
        <v>7.1416999999999994E-2</v>
      </c>
    </row>
    <row r="108" spans="2:9" x14ac:dyDescent="0.25">
      <c r="B108" s="34">
        <v>102</v>
      </c>
      <c r="C108" s="41">
        <v>0.43307800000000002</v>
      </c>
      <c r="E108" s="45">
        <v>102</v>
      </c>
      <c r="F108" s="37">
        <v>3.0317E-2</v>
      </c>
      <c r="H108" s="45">
        <v>103</v>
      </c>
      <c r="I108" s="40">
        <v>7.7946000000000001E-2</v>
      </c>
    </row>
    <row r="109" spans="2:9" x14ac:dyDescent="0.25">
      <c r="B109" s="34">
        <v>103</v>
      </c>
      <c r="C109" s="41">
        <v>0.47506799999999999</v>
      </c>
      <c r="E109" s="45">
        <v>103</v>
      </c>
      <c r="F109" s="38">
        <v>3.1772000000000002E-2</v>
      </c>
      <c r="H109" s="45">
        <v>104</v>
      </c>
      <c r="I109" s="39">
        <v>8.5100999999999996E-2</v>
      </c>
    </row>
    <row r="110" spans="2:9" x14ac:dyDescent="0.25">
      <c r="B110" s="34">
        <v>104</v>
      </c>
      <c r="C110" s="41">
        <v>0.51794899999999999</v>
      </c>
      <c r="E110" s="45">
        <v>104</v>
      </c>
      <c r="F110" s="37">
        <v>3.3280999999999998E-2</v>
      </c>
      <c r="H110" s="45">
        <v>105</v>
      </c>
      <c r="I110" s="40">
        <v>9.2938000000000007E-2</v>
      </c>
    </row>
    <row r="111" spans="2:9" x14ac:dyDescent="0.25">
      <c r="B111" s="34">
        <v>105</v>
      </c>
      <c r="C111" s="41">
        <v>0.56109900000000001</v>
      </c>
      <c r="E111" s="45">
        <v>105</v>
      </c>
      <c r="F111" s="38">
        <v>3.4842999999999999E-2</v>
      </c>
      <c r="H111" s="45">
        <v>106</v>
      </c>
      <c r="I111" s="39">
        <v>0.101517</v>
      </c>
    </row>
    <row r="112" spans="2:9" x14ac:dyDescent="0.25">
      <c r="B112" s="34">
        <v>106</v>
      </c>
      <c r="C112" s="41">
        <v>0.60386099999999998</v>
      </c>
      <c r="E112" s="45">
        <v>106</v>
      </c>
      <c r="F112" s="37">
        <v>3.6462000000000001E-2</v>
      </c>
      <c r="H112" s="45">
        <v>107</v>
      </c>
      <c r="I112" s="40">
        <v>0.110898</v>
      </c>
    </row>
    <row r="113" spans="2:9" x14ac:dyDescent="0.25">
      <c r="B113" s="34">
        <v>107</v>
      </c>
      <c r="C113" s="41">
        <v>0.64558899999999997</v>
      </c>
      <c r="E113" s="45">
        <v>107</v>
      </c>
      <c r="F113" s="38">
        <v>3.8137999999999998E-2</v>
      </c>
      <c r="H113" s="45">
        <v>108</v>
      </c>
      <c r="I113" s="39">
        <v>0.121146</v>
      </c>
    </row>
    <row r="114" spans="2:9" x14ac:dyDescent="0.25">
      <c r="B114" s="34">
        <v>108</v>
      </c>
      <c r="C114" s="41">
        <v>0.68568200000000001</v>
      </c>
      <c r="E114" s="45">
        <v>108</v>
      </c>
      <c r="F114" s="37">
        <v>3.9870999999999997E-2</v>
      </c>
      <c r="H114" s="45">
        <v>109</v>
      </c>
      <c r="I114" s="40">
        <v>0.132325</v>
      </c>
    </row>
    <row r="115" spans="2:9" x14ac:dyDescent="0.25">
      <c r="B115" s="34">
        <v>109</v>
      </c>
      <c r="C115" s="41">
        <v>0.72362000000000004</v>
      </c>
      <c r="E115" s="45">
        <v>109</v>
      </c>
      <c r="F115" s="38">
        <v>4.1665000000000001E-2</v>
      </c>
      <c r="H115" s="45">
        <v>110</v>
      </c>
      <c r="I115" s="39">
        <v>0.14450199999999999</v>
      </c>
    </row>
    <row r="116" spans="2:9" x14ac:dyDescent="0.25">
      <c r="B116" s="34">
        <v>110</v>
      </c>
      <c r="C116" s="41">
        <v>0.75899099999999997</v>
      </c>
      <c r="E116" s="45">
        <v>110</v>
      </c>
      <c r="F116" s="37">
        <v>4.3519000000000002E-2</v>
      </c>
    </row>
    <row r="117" spans="2:9" x14ac:dyDescent="0.25">
      <c r="B117" s="34">
        <v>111</v>
      </c>
      <c r="C117" s="41">
        <v>1</v>
      </c>
    </row>
  </sheetData>
  <mergeCells count="17">
    <mergeCell ref="AX5:BF6"/>
    <mergeCell ref="R6:S6"/>
    <mergeCell ref="K29:L29"/>
    <mergeCell ref="K34:N34"/>
    <mergeCell ref="K10:L10"/>
    <mergeCell ref="K17:L17"/>
    <mergeCell ref="K23:L23"/>
    <mergeCell ref="P34:T34"/>
    <mergeCell ref="AP5:AV6"/>
    <mergeCell ref="B3:C3"/>
    <mergeCell ref="E3:F3"/>
    <mergeCell ref="H3:I3"/>
    <mergeCell ref="K3:K7"/>
    <mergeCell ref="L3:O7"/>
    <mergeCell ref="E4:E5"/>
    <mergeCell ref="B4:B5"/>
    <mergeCell ref="C4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umen">
                <anchor moveWithCells="1" sizeWithCells="1">
                  <from>
                    <xdr:col>13</xdr:col>
                    <xdr:colOff>504825</xdr:colOff>
                    <xdr:row>9</xdr:row>
                    <xdr:rowOff>190500</xdr:rowOff>
                  </from>
                  <to>
                    <xdr:col>15</xdr:col>
                    <xdr:colOff>19050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AP119"/>
  <sheetViews>
    <sheetView zoomScaleNormal="100" workbookViewId="0">
      <selection activeCell="F26" sqref="F26"/>
    </sheetView>
  </sheetViews>
  <sheetFormatPr baseColWidth="10" defaultRowHeight="15" x14ac:dyDescent="0.25"/>
  <cols>
    <col min="4" max="4" width="36.42578125" customWidth="1"/>
    <col min="5" max="5" width="14.85546875" customWidth="1"/>
    <col min="6" max="6" width="21.85546875" customWidth="1"/>
    <col min="8" max="8" width="11.28515625" customWidth="1"/>
    <col min="15" max="15" width="16.140625" customWidth="1"/>
    <col min="16" max="17" width="15" bestFit="1" customWidth="1"/>
    <col min="18" max="19" width="11.42578125" customWidth="1"/>
    <col min="21" max="21" width="29.42578125" bestFit="1" customWidth="1"/>
    <col min="24" max="24" width="13.140625" bestFit="1" customWidth="1"/>
    <col min="28" max="28" width="21.85546875" customWidth="1"/>
    <col min="29" max="29" width="13.7109375" bestFit="1" customWidth="1"/>
    <col min="36" max="36" width="12.42578125" bestFit="1" customWidth="1"/>
  </cols>
  <sheetData>
    <row r="2" spans="1:42" ht="16.5" x14ac:dyDescent="0.3">
      <c r="A2" s="183" t="s">
        <v>0</v>
      </c>
      <c r="B2" s="183"/>
      <c r="D2" s="8"/>
      <c r="E2" s="8"/>
      <c r="F2" s="8"/>
      <c r="G2" s="8"/>
      <c r="H2" s="8"/>
    </row>
    <row r="3" spans="1:42" ht="16.5" x14ac:dyDescent="0.25">
      <c r="A3" s="183" t="s">
        <v>1</v>
      </c>
      <c r="B3" s="183"/>
      <c r="D3" s="156" t="s">
        <v>4</v>
      </c>
      <c r="E3" s="188" t="s">
        <v>36</v>
      </c>
      <c r="F3" s="189"/>
      <c r="G3" s="189"/>
      <c r="H3" s="190"/>
    </row>
    <row r="4" spans="1:42" ht="16.5" x14ac:dyDescent="0.25">
      <c r="A4" s="183"/>
      <c r="B4" s="183"/>
      <c r="D4" s="157"/>
      <c r="E4" s="191" t="s">
        <v>5</v>
      </c>
      <c r="F4" s="192"/>
      <c r="G4" s="192"/>
      <c r="H4" s="193"/>
    </row>
    <row r="5" spans="1:42" ht="17.25" thickBot="1" x14ac:dyDescent="0.35">
      <c r="A5" s="183"/>
      <c r="B5" s="183"/>
      <c r="D5" s="157"/>
      <c r="E5" s="194" t="s">
        <v>6</v>
      </c>
      <c r="F5" s="195"/>
      <c r="G5" s="195"/>
      <c r="H5" s="196"/>
    </row>
    <row r="6" spans="1:42" ht="16.5" x14ac:dyDescent="0.3">
      <c r="A6" s="184" t="s">
        <v>2</v>
      </c>
      <c r="B6" s="186" t="s">
        <v>3</v>
      </c>
      <c r="D6" s="157"/>
      <c r="E6" s="197" t="s">
        <v>35</v>
      </c>
      <c r="F6" s="198"/>
      <c r="G6" s="198"/>
      <c r="H6" s="199"/>
    </row>
    <row r="7" spans="1:42" ht="17.25" thickBot="1" x14ac:dyDescent="0.35">
      <c r="A7" s="185"/>
      <c r="B7" s="187"/>
      <c r="D7" s="158"/>
      <c r="E7" s="200" t="s">
        <v>7</v>
      </c>
      <c r="F7" s="201"/>
      <c r="G7" s="201"/>
      <c r="H7" s="202"/>
    </row>
    <row r="8" spans="1:42" ht="16.5" x14ac:dyDescent="0.3">
      <c r="A8" s="1">
        <v>0</v>
      </c>
      <c r="B8" s="2">
        <v>4.3300000000000001E-4</v>
      </c>
      <c r="D8" s="8"/>
      <c r="E8" s="8"/>
      <c r="F8" s="8"/>
      <c r="G8" s="8"/>
      <c r="H8" s="8"/>
      <c r="S8" s="203" t="s">
        <v>30</v>
      </c>
      <c r="T8" s="203"/>
      <c r="U8" s="203"/>
    </row>
    <row r="9" spans="1:42" ht="16.5" x14ac:dyDescent="0.3">
      <c r="A9" s="3">
        <v>1</v>
      </c>
      <c r="B9" s="4">
        <v>4.3300000000000001E-4</v>
      </c>
      <c r="D9" s="182" t="s">
        <v>8</v>
      </c>
      <c r="E9" s="182"/>
      <c r="F9" s="8"/>
      <c r="G9" s="8"/>
      <c r="I9" s="208" t="s">
        <v>29</v>
      </c>
      <c r="J9" s="203"/>
    </row>
    <row r="10" spans="1:42" ht="16.5" x14ac:dyDescent="0.3">
      <c r="A10" s="3">
        <v>2</v>
      </c>
      <c r="B10" s="5">
        <v>4.3399999999999998E-4</v>
      </c>
      <c r="D10" s="8"/>
      <c r="E10" s="8"/>
      <c r="F10" s="8"/>
      <c r="G10" s="8"/>
      <c r="H10" s="8"/>
      <c r="P10" s="19" t="s">
        <v>28</v>
      </c>
      <c r="Q10" s="17">
        <f>SUM(Q12:Q29)</f>
        <v>7913.6570378521137</v>
      </c>
      <c r="W10" s="21" t="s">
        <v>28</v>
      </c>
      <c r="X10" s="31">
        <f>SUM(X12:X19)</f>
        <v>28.63245431808182</v>
      </c>
      <c r="Z10" s="204" t="s">
        <v>37</v>
      </c>
      <c r="AA10" s="204"/>
      <c r="AB10" s="204"/>
      <c r="AC10" s="204"/>
      <c r="AD10" s="204"/>
      <c r="AI10" s="21" t="s">
        <v>38</v>
      </c>
      <c r="AJ10" s="26">
        <f>SUM(AJ12:AJ16)*AA12</f>
        <v>10202.080269176568</v>
      </c>
      <c r="AL10" s="21" t="s">
        <v>42</v>
      </c>
      <c r="AM10" s="26">
        <f>SUM(AM12:AM29)*AB12</f>
        <v>4218.8112395259332</v>
      </c>
      <c r="AO10" s="21" t="s">
        <v>43</v>
      </c>
      <c r="AP10" s="26">
        <f>SUM(AP12:AP29)*AC12</f>
        <v>253.12867437155597</v>
      </c>
    </row>
    <row r="11" spans="1:42" ht="21" x14ac:dyDescent="0.4">
      <c r="A11" s="3">
        <v>3</v>
      </c>
      <c r="B11" s="4">
        <v>4.3399999999999998E-4</v>
      </c>
      <c r="D11" s="9" t="s">
        <v>9</v>
      </c>
      <c r="E11" s="10" t="s">
        <v>10</v>
      </c>
      <c r="F11" s="11">
        <v>30</v>
      </c>
      <c r="G11" s="8"/>
      <c r="I11" s="15" t="s">
        <v>10</v>
      </c>
      <c r="J11" s="15" t="s">
        <v>20</v>
      </c>
      <c r="K11" s="16" t="s">
        <v>25</v>
      </c>
      <c r="L11" s="15" t="s">
        <v>21</v>
      </c>
      <c r="M11" s="15" t="s">
        <v>22</v>
      </c>
      <c r="N11" s="15" t="s">
        <v>23</v>
      </c>
      <c r="O11" s="15" t="s">
        <v>24</v>
      </c>
      <c r="P11" s="15" t="s">
        <v>27</v>
      </c>
      <c r="Q11" s="15" t="s">
        <v>26</v>
      </c>
      <c r="S11" s="15" t="s">
        <v>10</v>
      </c>
      <c r="T11" s="15" t="s">
        <v>20</v>
      </c>
      <c r="U11" s="15" t="s">
        <v>51</v>
      </c>
      <c r="V11" s="15" t="s">
        <v>31</v>
      </c>
      <c r="W11" s="15" t="s">
        <v>24</v>
      </c>
      <c r="X11" s="15" t="s">
        <v>26</v>
      </c>
      <c r="Z11" s="28" t="s">
        <v>39</v>
      </c>
      <c r="AA11" s="28" t="s">
        <v>38</v>
      </c>
      <c r="AB11" s="28" t="s">
        <v>40</v>
      </c>
      <c r="AC11" s="28" t="s">
        <v>43</v>
      </c>
      <c r="AD11" s="28" t="s">
        <v>41</v>
      </c>
      <c r="AF11" s="15" t="s">
        <v>10</v>
      </c>
      <c r="AG11" s="15" t="s">
        <v>20</v>
      </c>
      <c r="AH11" s="15" t="s">
        <v>31</v>
      </c>
      <c r="AI11" s="15" t="s">
        <v>24</v>
      </c>
      <c r="AJ11" s="15" t="s">
        <v>26</v>
      </c>
      <c r="AL11" s="15" t="s">
        <v>20</v>
      </c>
      <c r="AM11" s="15" t="s">
        <v>31</v>
      </c>
      <c r="AO11" s="15" t="s">
        <v>20</v>
      </c>
      <c r="AP11" s="15" t="s">
        <v>31</v>
      </c>
    </row>
    <row r="12" spans="1:42" ht="16.5" x14ac:dyDescent="0.3">
      <c r="A12" s="3">
        <v>4</v>
      </c>
      <c r="B12" s="5">
        <v>4.35E-4</v>
      </c>
      <c r="D12" s="9" t="s">
        <v>11</v>
      </c>
      <c r="E12" s="10" t="s">
        <v>12</v>
      </c>
      <c r="F12" s="11">
        <v>18</v>
      </c>
      <c r="G12" s="8"/>
      <c r="I12" s="11">
        <f>F11</f>
        <v>30</v>
      </c>
      <c r="J12" s="7">
        <v>0</v>
      </c>
      <c r="K12" s="7">
        <f>I12+J12</f>
        <v>30</v>
      </c>
      <c r="L12" s="7">
        <f>POWER(1+J35,-(J12+1))</f>
        <v>0.898876404494382</v>
      </c>
      <c r="M12" s="7">
        <f t="shared" ref="M12:M29" si="0">VLOOKUP(K12,A6:B119,2,0)</f>
        <v>6.78E-4</v>
      </c>
      <c r="N12" s="7">
        <f t="shared" ref="N12:N29" si="1">1-M12</f>
        <v>0.99932200000000004</v>
      </c>
      <c r="O12" s="7">
        <v>1</v>
      </c>
      <c r="P12" s="7">
        <v>1</v>
      </c>
      <c r="Q12" s="18">
        <f t="shared" ref="Q12:Q29" si="2">P12*$F$13*L12*O12*M12</f>
        <v>91.415730337078656</v>
      </c>
      <c r="S12" s="11">
        <f>F11</f>
        <v>30</v>
      </c>
      <c r="T12" s="7">
        <v>0</v>
      </c>
      <c r="U12" s="7">
        <f>8-T12</f>
        <v>8</v>
      </c>
      <c r="V12" s="7">
        <f t="shared" ref="V12:V19" si="3">POWER(1+J35,-T12)</f>
        <v>1</v>
      </c>
      <c r="W12" s="7">
        <f>O12</f>
        <v>1</v>
      </c>
      <c r="X12" s="7">
        <f>U12*W12*V12</f>
        <v>8</v>
      </c>
      <c r="Z12" s="7">
        <v>0</v>
      </c>
      <c r="AA12" s="25">
        <v>2500</v>
      </c>
      <c r="AB12" s="25">
        <v>500</v>
      </c>
      <c r="AC12" s="25">
        <v>30</v>
      </c>
      <c r="AD12" s="25">
        <v>1000</v>
      </c>
      <c r="AE12" s="24"/>
      <c r="AF12" s="7">
        <f>S12</f>
        <v>30</v>
      </c>
      <c r="AG12" s="29">
        <v>0</v>
      </c>
      <c r="AH12" s="7">
        <f>POWER(1+J35,-AG12)</f>
        <v>1</v>
      </c>
      <c r="AI12" s="7">
        <f>W12</f>
        <v>1</v>
      </c>
      <c r="AJ12" s="7">
        <f>AH12*AI12</f>
        <v>1</v>
      </c>
      <c r="AL12" s="29">
        <v>0</v>
      </c>
      <c r="AM12" s="7">
        <f t="shared" ref="AM12:AM29" si="4">POWER(1+J35,-AL12)</f>
        <v>1</v>
      </c>
      <c r="AO12" s="29">
        <v>0</v>
      </c>
      <c r="AP12" s="7">
        <f t="shared" ref="AP12:AP29" si="5">POWER(1+J35,-AO12)</f>
        <v>1</v>
      </c>
    </row>
    <row r="13" spans="1:42" ht="16.5" x14ac:dyDescent="0.3">
      <c r="A13" s="3">
        <v>5</v>
      </c>
      <c r="B13" s="4">
        <v>4.3600000000000003E-4</v>
      </c>
      <c r="D13" s="9" t="s">
        <v>13</v>
      </c>
      <c r="E13" s="10" t="s">
        <v>14</v>
      </c>
      <c r="F13" s="12">
        <v>150000</v>
      </c>
      <c r="G13" s="8"/>
      <c r="I13" s="11">
        <f t="shared" ref="I13:I29" si="6">I12</f>
        <v>30</v>
      </c>
      <c r="J13" s="7">
        <v>1</v>
      </c>
      <c r="K13" s="7">
        <f t="shared" ref="K13:K29" si="7">I13+J13</f>
        <v>31</v>
      </c>
      <c r="L13" s="7">
        <f t="shared" ref="L13:L29" si="8">POWER(1+J36,-(J13+1))</f>
        <v>0.80797879055674782</v>
      </c>
      <c r="M13" s="7">
        <f t="shared" si="0"/>
        <v>7.0299999999999996E-4</v>
      </c>
      <c r="N13" s="7">
        <f t="shared" si="1"/>
        <v>0.99929699999999999</v>
      </c>
      <c r="O13" s="7">
        <f t="shared" ref="O13:O29" si="9">O12*N12</f>
        <v>0.99932200000000004</v>
      </c>
      <c r="P13" s="7">
        <v>2</v>
      </c>
      <c r="Q13" s="18">
        <f t="shared" si="2"/>
        <v>170.28719387956065</v>
      </c>
      <c r="S13" s="7">
        <f>S12</f>
        <v>30</v>
      </c>
      <c r="T13" s="7">
        <f>T12+1</f>
        <v>1</v>
      </c>
      <c r="U13" s="7">
        <f t="shared" ref="U13:U19" si="10">8-T13</f>
        <v>7</v>
      </c>
      <c r="V13" s="7">
        <f t="shared" si="3"/>
        <v>0.898876404494382</v>
      </c>
      <c r="W13" s="7">
        <f t="shared" ref="W13:W19" si="11">O13</f>
        <v>0.99932200000000004</v>
      </c>
      <c r="X13" s="7">
        <f t="shared" ref="X13:X19" si="12">U13*W13*V13</f>
        <v>6.2878687640449433</v>
      </c>
      <c r="Z13" s="7">
        <v>1</v>
      </c>
      <c r="AA13" s="25">
        <v>2500</v>
      </c>
      <c r="AB13" s="25">
        <v>500</v>
      </c>
      <c r="AC13" s="25">
        <v>30</v>
      </c>
      <c r="AD13" s="7"/>
      <c r="AF13" s="7">
        <f>S13</f>
        <v>30</v>
      </c>
      <c r="AG13" s="7">
        <v>1</v>
      </c>
      <c r="AH13" s="7">
        <f>POWER(1+J36,-AG13)</f>
        <v>0.898876404494382</v>
      </c>
      <c r="AI13" s="7">
        <f>W13</f>
        <v>0.99932200000000004</v>
      </c>
      <c r="AJ13" s="7">
        <f>AH13*AI13</f>
        <v>0.89826696629213487</v>
      </c>
      <c r="AL13" s="7">
        <v>1</v>
      </c>
      <c r="AM13" s="7">
        <f t="shared" si="4"/>
        <v>0.898876404494382</v>
      </c>
      <c r="AO13" s="7">
        <v>1</v>
      </c>
      <c r="AP13" s="7">
        <f t="shared" si="5"/>
        <v>0.898876404494382</v>
      </c>
    </row>
    <row r="14" spans="1:42" ht="16.5" x14ac:dyDescent="0.3">
      <c r="A14" s="3">
        <v>6</v>
      </c>
      <c r="B14" s="5">
        <v>4.3800000000000002E-4</v>
      </c>
      <c r="D14" s="8"/>
      <c r="E14" s="8"/>
      <c r="F14" s="8"/>
      <c r="G14" s="8"/>
      <c r="I14" s="11">
        <f t="shared" si="6"/>
        <v>30</v>
      </c>
      <c r="J14" s="7">
        <v>2</v>
      </c>
      <c r="K14" s="7">
        <f t="shared" si="7"/>
        <v>32</v>
      </c>
      <c r="L14" s="7">
        <f t="shared" si="8"/>
        <v>0.72627307016336884</v>
      </c>
      <c r="M14" s="7">
        <f t="shared" si="0"/>
        <v>7.2900000000000005E-4</v>
      </c>
      <c r="N14" s="7">
        <f t="shared" si="1"/>
        <v>0.99927100000000002</v>
      </c>
      <c r="O14" s="7">
        <f t="shared" si="9"/>
        <v>0.99861947663400008</v>
      </c>
      <c r="P14" s="7">
        <v>3</v>
      </c>
      <c r="Q14" s="18">
        <f t="shared" si="2"/>
        <v>237.92496561779208</v>
      </c>
      <c r="S14" s="7">
        <f t="shared" ref="S14:S19" si="13">S13</f>
        <v>30</v>
      </c>
      <c r="T14" s="7">
        <f t="shared" ref="T14:T19" si="14">T13+1</f>
        <v>2</v>
      </c>
      <c r="U14" s="7">
        <f t="shared" si="10"/>
        <v>6</v>
      </c>
      <c r="V14" s="7">
        <f t="shared" si="3"/>
        <v>0.80797879055674782</v>
      </c>
      <c r="W14" s="7">
        <f t="shared" si="11"/>
        <v>0.99861947663400008</v>
      </c>
      <c r="X14" s="7">
        <f t="shared" si="12"/>
        <v>4.8411801417429112</v>
      </c>
      <c r="Z14" s="7">
        <v>2</v>
      </c>
      <c r="AA14" s="25">
        <v>2500</v>
      </c>
      <c r="AB14" s="25">
        <v>500</v>
      </c>
      <c r="AC14" s="25">
        <v>30</v>
      </c>
      <c r="AD14" s="7"/>
      <c r="AF14" s="7">
        <f>S14</f>
        <v>30</v>
      </c>
      <c r="AG14" s="7">
        <v>2</v>
      </c>
      <c r="AH14" s="7">
        <f>POWER(1+J37,-AG14)</f>
        <v>0.80797879055674782</v>
      </c>
      <c r="AI14" s="7">
        <f>W14</f>
        <v>0.99861947663400008</v>
      </c>
      <c r="AJ14" s="7">
        <f>AH14*AI14</f>
        <v>0.80686335695715183</v>
      </c>
      <c r="AL14" s="7">
        <v>2</v>
      </c>
      <c r="AM14" s="7">
        <f t="shared" si="4"/>
        <v>0.80797879055674782</v>
      </c>
      <c r="AO14" s="7">
        <v>2</v>
      </c>
      <c r="AP14" s="7">
        <f t="shared" si="5"/>
        <v>0.80797879055674782</v>
      </c>
    </row>
    <row r="15" spans="1:42" ht="16.5" x14ac:dyDescent="0.3">
      <c r="A15" s="3">
        <v>7</v>
      </c>
      <c r="B15" s="4">
        <v>4.4000000000000002E-4</v>
      </c>
      <c r="D15" s="14" t="s">
        <v>15</v>
      </c>
      <c r="E15" s="10" t="s">
        <v>16</v>
      </c>
      <c r="F15" s="20">
        <f>Q10</f>
        <v>7913.6570378521137</v>
      </c>
      <c r="G15" s="8"/>
      <c r="I15" s="11">
        <f t="shared" si="6"/>
        <v>30</v>
      </c>
      <c r="J15" s="7">
        <v>3</v>
      </c>
      <c r="K15" s="7">
        <f t="shared" si="7"/>
        <v>33</v>
      </c>
      <c r="L15" s="7">
        <f t="shared" si="8"/>
        <v>0.65282972598954492</v>
      </c>
      <c r="M15" s="7">
        <f t="shared" si="0"/>
        <v>7.5699999999999997E-4</v>
      </c>
      <c r="N15" s="7">
        <f t="shared" si="1"/>
        <v>0.99924299999999999</v>
      </c>
      <c r="O15" s="7">
        <f t="shared" si="9"/>
        <v>0.99789148303553388</v>
      </c>
      <c r="P15" s="7">
        <v>4</v>
      </c>
      <c r="Q15" s="18">
        <f t="shared" si="2"/>
        <v>295.89005408526168</v>
      </c>
      <c r="S15" s="7">
        <f t="shared" si="13"/>
        <v>30</v>
      </c>
      <c r="T15" s="7">
        <f t="shared" si="14"/>
        <v>3</v>
      </c>
      <c r="U15" s="7">
        <f t="shared" si="10"/>
        <v>5</v>
      </c>
      <c r="V15" s="7">
        <f t="shared" si="3"/>
        <v>0.72627307016336884</v>
      </c>
      <c r="W15" s="7">
        <f t="shared" si="11"/>
        <v>0.99789148303553388</v>
      </c>
      <c r="X15" s="7">
        <f t="shared" si="12"/>
        <v>3.6237085553704729</v>
      </c>
      <c r="Z15" s="7">
        <v>3</v>
      </c>
      <c r="AA15" s="25">
        <v>2500</v>
      </c>
      <c r="AB15" s="25">
        <v>500</v>
      </c>
      <c r="AC15" s="25">
        <v>30</v>
      </c>
      <c r="AD15" s="7"/>
      <c r="AF15" s="7">
        <f>S15</f>
        <v>30</v>
      </c>
      <c r="AG15" s="7">
        <v>3</v>
      </c>
      <c r="AH15" s="7">
        <f>POWER(1+J38,-AG15)</f>
        <v>0.72627307016336884</v>
      </c>
      <c r="AI15" s="7">
        <f>W15</f>
        <v>0.99789148303553388</v>
      </c>
      <c r="AJ15" s="7">
        <f>AH15*AI15</f>
        <v>0.72474171107409446</v>
      </c>
      <c r="AL15" s="7">
        <v>3</v>
      </c>
      <c r="AM15" s="7">
        <f t="shared" si="4"/>
        <v>0.72627307016336884</v>
      </c>
      <c r="AO15" s="7">
        <v>3</v>
      </c>
      <c r="AP15" s="7">
        <f t="shared" si="5"/>
        <v>0.72627307016336884</v>
      </c>
    </row>
    <row r="16" spans="1:42" ht="16.5" customHeight="1" x14ac:dyDescent="0.3">
      <c r="A16" s="3">
        <v>8</v>
      </c>
      <c r="B16" s="5">
        <v>4.4299999999999998E-4</v>
      </c>
      <c r="D16" s="14" t="s">
        <v>17</v>
      </c>
      <c r="E16" s="22" t="s">
        <v>34</v>
      </c>
      <c r="F16" s="32">
        <f>X10</f>
        <v>28.63245431808182</v>
      </c>
      <c r="G16" s="8"/>
      <c r="I16" s="11">
        <f t="shared" si="6"/>
        <v>30</v>
      </c>
      <c r="J16" s="7">
        <v>4</v>
      </c>
      <c r="K16" s="7">
        <f t="shared" si="7"/>
        <v>34</v>
      </c>
      <c r="L16" s="7">
        <f t="shared" si="8"/>
        <v>0.58681323684453479</v>
      </c>
      <c r="M16" s="7">
        <f t="shared" si="0"/>
        <v>7.8799999999999996E-4</v>
      </c>
      <c r="N16" s="7">
        <f t="shared" si="1"/>
        <v>0.99921199999999999</v>
      </c>
      <c r="O16" s="7">
        <f t="shared" si="9"/>
        <v>0.99713607918287595</v>
      </c>
      <c r="P16" s="7">
        <v>5</v>
      </c>
      <c r="Q16" s="18">
        <f t="shared" si="2"/>
        <v>345.81339626806505</v>
      </c>
      <c r="S16" s="7">
        <f t="shared" si="13"/>
        <v>30</v>
      </c>
      <c r="T16" s="7">
        <f t="shared" si="14"/>
        <v>4</v>
      </c>
      <c r="U16" s="7">
        <f t="shared" si="10"/>
        <v>4</v>
      </c>
      <c r="V16" s="7">
        <f t="shared" si="3"/>
        <v>0.65282972598954492</v>
      </c>
      <c r="W16" s="7">
        <f t="shared" si="11"/>
        <v>0.99713607918287595</v>
      </c>
      <c r="X16" s="7">
        <f t="shared" si="12"/>
        <v>2.6038402933889842</v>
      </c>
      <c r="Z16" s="7">
        <v>4</v>
      </c>
      <c r="AA16" s="25">
        <v>2500</v>
      </c>
      <c r="AB16" s="25">
        <v>500</v>
      </c>
      <c r="AC16" s="25">
        <v>30</v>
      </c>
      <c r="AD16" s="7"/>
      <c r="AF16" s="7">
        <f>S16</f>
        <v>30</v>
      </c>
      <c r="AG16" s="7">
        <v>4</v>
      </c>
      <c r="AH16" s="7">
        <f>POWER(1+J39,-AG16)</f>
        <v>0.65282972598954492</v>
      </c>
      <c r="AI16" s="7">
        <f>W16</f>
        <v>0.99713607918287595</v>
      </c>
      <c r="AJ16" s="7">
        <f>AH16*AI16</f>
        <v>0.65096007334724604</v>
      </c>
      <c r="AL16" s="7">
        <v>4</v>
      </c>
      <c r="AM16" s="7">
        <f t="shared" si="4"/>
        <v>0.65282972598954492</v>
      </c>
      <c r="AO16" s="7">
        <v>4</v>
      </c>
      <c r="AP16" s="7">
        <f t="shared" si="5"/>
        <v>0.65282972598954492</v>
      </c>
    </row>
    <row r="17" spans="1:42" ht="17.25" customHeight="1" x14ac:dyDescent="0.3">
      <c r="A17" s="3">
        <v>9</v>
      </c>
      <c r="B17" s="4">
        <v>4.46E-4</v>
      </c>
      <c r="D17" s="13" t="s">
        <v>18</v>
      </c>
      <c r="E17" s="10" t="s">
        <v>19</v>
      </c>
      <c r="F17" s="20">
        <f>F15/F16</f>
        <v>276.38765960955436</v>
      </c>
      <c r="G17" s="8"/>
      <c r="I17" s="11">
        <f t="shared" si="6"/>
        <v>30</v>
      </c>
      <c r="J17" s="7">
        <v>5</v>
      </c>
      <c r="K17" s="7">
        <f t="shared" si="7"/>
        <v>35</v>
      </c>
      <c r="L17" s="7">
        <f t="shared" si="8"/>
        <v>0.52747257244452561</v>
      </c>
      <c r="M17" s="7">
        <f t="shared" si="0"/>
        <v>8.2100000000000001E-4</v>
      </c>
      <c r="N17" s="7">
        <f t="shared" si="1"/>
        <v>0.99917900000000004</v>
      </c>
      <c r="O17" s="7">
        <f t="shared" si="9"/>
        <v>0.99635033595247979</v>
      </c>
      <c r="P17" s="7">
        <v>6</v>
      </c>
      <c r="Q17" s="18">
        <f t="shared" si="2"/>
        <v>388.32702910077126</v>
      </c>
      <c r="S17" s="7">
        <f t="shared" si="13"/>
        <v>30</v>
      </c>
      <c r="T17" s="7">
        <f t="shared" si="14"/>
        <v>5</v>
      </c>
      <c r="U17" s="7">
        <f t="shared" si="10"/>
        <v>3</v>
      </c>
      <c r="V17" s="7">
        <f t="shared" si="3"/>
        <v>0.58681323684453479</v>
      </c>
      <c r="W17" s="7">
        <f t="shared" si="11"/>
        <v>0.99635033595247979</v>
      </c>
      <c r="X17" s="7">
        <f t="shared" si="12"/>
        <v>1.7540146970142432</v>
      </c>
      <c r="Z17" s="7">
        <v>5</v>
      </c>
      <c r="AA17" s="7"/>
      <c r="AB17" s="25">
        <v>500</v>
      </c>
      <c r="AC17" s="25">
        <v>30</v>
      </c>
      <c r="AD17" s="7"/>
      <c r="AL17" s="7">
        <v>5</v>
      </c>
      <c r="AM17" s="7">
        <f t="shared" si="4"/>
        <v>0.58681323684453479</v>
      </c>
      <c r="AO17" s="7">
        <v>5</v>
      </c>
      <c r="AP17" s="7">
        <f t="shared" si="5"/>
        <v>0.58681323684453479</v>
      </c>
    </row>
    <row r="18" spans="1:42" ht="16.5" customHeight="1" x14ac:dyDescent="0.3">
      <c r="A18" s="3">
        <v>10</v>
      </c>
      <c r="B18" s="5">
        <v>4.4900000000000002E-4</v>
      </c>
      <c r="G18" s="8"/>
      <c r="I18" s="11">
        <f t="shared" si="6"/>
        <v>30</v>
      </c>
      <c r="J18" s="7">
        <v>6</v>
      </c>
      <c r="K18" s="7">
        <f t="shared" si="7"/>
        <v>36</v>
      </c>
      <c r="L18" s="7">
        <f t="shared" si="8"/>
        <v>0.4741326493883376</v>
      </c>
      <c r="M18" s="7">
        <f t="shared" si="0"/>
        <v>8.5700000000000001E-4</v>
      </c>
      <c r="N18" s="7">
        <f t="shared" si="1"/>
        <v>0.999143</v>
      </c>
      <c r="O18" s="7">
        <f t="shared" si="9"/>
        <v>0.99553233232666283</v>
      </c>
      <c r="P18" s="7">
        <v>7</v>
      </c>
      <c r="Q18" s="18">
        <f t="shared" si="2"/>
        <v>424.74214189267076</v>
      </c>
      <c r="S18" s="7">
        <f t="shared" si="13"/>
        <v>30</v>
      </c>
      <c r="T18" s="7">
        <f t="shared" si="14"/>
        <v>6</v>
      </c>
      <c r="U18" s="7">
        <f t="shared" si="10"/>
        <v>2</v>
      </c>
      <c r="V18" s="7">
        <f t="shared" si="3"/>
        <v>0.52747257244452561</v>
      </c>
      <c r="W18" s="7">
        <f t="shared" si="11"/>
        <v>0.99553233232666283</v>
      </c>
      <c r="X18" s="7">
        <f t="shared" si="12"/>
        <v>1.0502320005680863</v>
      </c>
      <c r="Z18" s="7">
        <v>6</v>
      </c>
      <c r="AA18" s="7"/>
      <c r="AB18" s="25">
        <v>500</v>
      </c>
      <c r="AC18" s="25">
        <v>30</v>
      </c>
      <c r="AD18" s="7"/>
      <c r="AL18" s="7">
        <v>6</v>
      </c>
      <c r="AM18" s="7">
        <f t="shared" si="4"/>
        <v>0.52747257244452561</v>
      </c>
      <c r="AO18" s="7">
        <v>6</v>
      </c>
      <c r="AP18" s="7">
        <f t="shared" si="5"/>
        <v>0.52747257244452561</v>
      </c>
    </row>
    <row r="19" spans="1:42" ht="15.75" customHeight="1" x14ac:dyDescent="0.3">
      <c r="A19" s="3">
        <v>11</v>
      </c>
      <c r="B19" s="4">
        <v>4.5300000000000001E-4</v>
      </c>
      <c r="D19" s="14" t="s">
        <v>46</v>
      </c>
      <c r="E19" s="10"/>
      <c r="F19" s="20">
        <f>Q10+AJ10+AM10+AP10</f>
        <v>22587.677220926173</v>
      </c>
      <c r="I19" s="11">
        <f t="shared" si="6"/>
        <v>30</v>
      </c>
      <c r="J19" s="7">
        <v>7</v>
      </c>
      <c r="K19" s="7">
        <f t="shared" si="7"/>
        <v>37</v>
      </c>
      <c r="L19" s="7">
        <f t="shared" si="8"/>
        <v>0.42618665113558429</v>
      </c>
      <c r="M19" s="7">
        <f t="shared" si="0"/>
        <v>8.9599999999999999E-4</v>
      </c>
      <c r="N19" s="7">
        <f t="shared" si="1"/>
        <v>0.99910399999999999</v>
      </c>
      <c r="O19" s="7">
        <f t="shared" si="9"/>
        <v>0.99467916111785892</v>
      </c>
      <c r="P19" s="7">
        <v>8</v>
      </c>
      <c r="Q19" s="18">
        <f t="shared" si="2"/>
        <v>455.79768797463674</v>
      </c>
      <c r="S19" s="7">
        <f t="shared" si="13"/>
        <v>30</v>
      </c>
      <c r="T19" s="7">
        <f t="shared" si="14"/>
        <v>7</v>
      </c>
      <c r="U19" s="7">
        <f t="shared" si="10"/>
        <v>1</v>
      </c>
      <c r="V19" s="7">
        <f t="shared" si="3"/>
        <v>0.4741326493883376</v>
      </c>
      <c r="W19" s="7">
        <f t="shared" si="11"/>
        <v>0.99467916111785892</v>
      </c>
      <c r="X19" s="7">
        <f t="shared" si="12"/>
        <v>0.47160986595217957</v>
      </c>
      <c r="Z19" s="7">
        <v>7</v>
      </c>
      <c r="AA19" s="7"/>
      <c r="AB19" s="25">
        <v>500</v>
      </c>
      <c r="AC19" s="25">
        <v>30</v>
      </c>
      <c r="AD19" s="7"/>
      <c r="AL19" s="7">
        <v>7</v>
      </c>
      <c r="AM19" s="7">
        <f t="shared" si="4"/>
        <v>0.4741326493883376</v>
      </c>
      <c r="AO19" s="7">
        <v>7</v>
      </c>
      <c r="AP19" s="7">
        <f t="shared" si="5"/>
        <v>0.4741326493883376</v>
      </c>
    </row>
    <row r="20" spans="1:42" ht="15.75" customHeight="1" x14ac:dyDescent="0.3">
      <c r="A20" s="3">
        <v>12</v>
      </c>
      <c r="B20" s="5">
        <v>4.57E-4</v>
      </c>
      <c r="D20" s="14" t="s">
        <v>17</v>
      </c>
      <c r="E20" s="22" t="s">
        <v>34</v>
      </c>
      <c r="F20" s="20">
        <f>F16</f>
        <v>28.63245431808182</v>
      </c>
      <c r="I20" s="11">
        <f t="shared" si="6"/>
        <v>30</v>
      </c>
      <c r="J20" s="7">
        <v>8</v>
      </c>
      <c r="K20" s="7">
        <f t="shared" si="7"/>
        <v>38</v>
      </c>
      <c r="L20" s="7">
        <f t="shared" si="8"/>
        <v>0.38308912461625555</v>
      </c>
      <c r="M20" s="7">
        <f t="shared" si="0"/>
        <v>9.3800000000000003E-4</v>
      </c>
      <c r="N20" s="7">
        <f t="shared" si="1"/>
        <v>0.99906200000000001</v>
      </c>
      <c r="O20" s="7">
        <f t="shared" si="9"/>
        <v>0.99378792858949727</v>
      </c>
      <c r="P20" s="7">
        <v>9</v>
      </c>
      <c r="Q20" s="18">
        <f t="shared" si="2"/>
        <v>482.09224688810662</v>
      </c>
      <c r="Z20" s="7">
        <v>8</v>
      </c>
      <c r="AA20" s="7"/>
      <c r="AB20" s="25">
        <v>500</v>
      </c>
      <c r="AC20" s="25">
        <v>30</v>
      </c>
      <c r="AD20" s="7"/>
      <c r="AL20" s="7">
        <v>8</v>
      </c>
      <c r="AM20" s="7">
        <f t="shared" si="4"/>
        <v>0.42618665113558429</v>
      </c>
      <c r="AO20" s="7">
        <v>8</v>
      </c>
      <c r="AP20" s="7">
        <f t="shared" si="5"/>
        <v>0.42618665113558429</v>
      </c>
    </row>
    <row r="21" spans="1:42" ht="16.5" x14ac:dyDescent="0.3">
      <c r="A21" s="3">
        <v>13</v>
      </c>
      <c r="B21" s="4">
        <v>4.6299999999999998E-4</v>
      </c>
      <c r="D21" s="13" t="s">
        <v>45</v>
      </c>
      <c r="E21" s="10" t="s">
        <v>44</v>
      </c>
      <c r="F21" s="20">
        <f>F19/F20</f>
        <v>788.88372509029796</v>
      </c>
      <c r="I21" s="11">
        <f t="shared" si="6"/>
        <v>30</v>
      </c>
      <c r="J21" s="7">
        <v>9</v>
      </c>
      <c r="K21" s="7">
        <f t="shared" si="7"/>
        <v>39</v>
      </c>
      <c r="L21" s="7">
        <f t="shared" si="8"/>
        <v>0.34434977493595997</v>
      </c>
      <c r="M21" s="7">
        <f t="shared" si="0"/>
        <v>9.8299999999999993E-4</v>
      </c>
      <c r="N21" s="7">
        <f t="shared" si="1"/>
        <v>0.99901700000000004</v>
      </c>
      <c r="O21" s="7">
        <f t="shared" si="9"/>
        <v>0.99285575551248029</v>
      </c>
      <c r="P21" s="7">
        <v>10</v>
      </c>
      <c r="Q21" s="18">
        <f t="shared" si="2"/>
        <v>504.11629770505039</v>
      </c>
      <c r="Z21" s="7">
        <v>9</v>
      </c>
      <c r="AA21" s="7"/>
      <c r="AB21" s="25">
        <v>500</v>
      </c>
      <c r="AC21" s="25">
        <v>30</v>
      </c>
      <c r="AD21" s="7"/>
      <c r="AL21" s="7">
        <v>9</v>
      </c>
      <c r="AM21" s="7">
        <f t="shared" si="4"/>
        <v>0.38308912461625555</v>
      </c>
      <c r="AO21" s="7">
        <v>9</v>
      </c>
      <c r="AP21" s="7">
        <f t="shared" si="5"/>
        <v>0.38308912461625555</v>
      </c>
    </row>
    <row r="22" spans="1:42" ht="16.5" x14ac:dyDescent="0.3">
      <c r="A22" s="3">
        <v>14</v>
      </c>
      <c r="B22" s="5">
        <v>4.6799999999999999E-4</v>
      </c>
      <c r="I22" s="11">
        <f t="shared" si="6"/>
        <v>30</v>
      </c>
      <c r="J22" s="7">
        <v>10</v>
      </c>
      <c r="K22" s="7">
        <f t="shared" si="7"/>
        <v>40</v>
      </c>
      <c r="L22" s="7">
        <f t="shared" si="8"/>
        <v>0.30952788758288541</v>
      </c>
      <c r="M22" s="7">
        <f t="shared" si="0"/>
        <v>1.0330000000000001E-3</v>
      </c>
      <c r="N22" s="7">
        <f t="shared" si="1"/>
        <v>0.99896700000000005</v>
      </c>
      <c r="O22" s="7">
        <f t="shared" si="9"/>
        <v>0.99187977830481155</v>
      </c>
      <c r="P22" s="7">
        <v>11</v>
      </c>
      <c r="Q22" s="18">
        <f t="shared" si="2"/>
        <v>523.29078358896845</v>
      </c>
      <c r="Z22" s="7">
        <v>10</v>
      </c>
      <c r="AA22" s="7"/>
      <c r="AB22" s="25">
        <v>500</v>
      </c>
      <c r="AC22" s="25">
        <v>30</v>
      </c>
      <c r="AD22" s="7"/>
      <c r="AL22" s="7">
        <v>10</v>
      </c>
      <c r="AM22" s="7">
        <f t="shared" si="4"/>
        <v>0.34434977493595997</v>
      </c>
      <c r="AO22" s="7">
        <v>10</v>
      </c>
      <c r="AP22" s="7">
        <f t="shared" si="5"/>
        <v>0.34434977493595997</v>
      </c>
    </row>
    <row r="23" spans="1:42" ht="16.5" x14ac:dyDescent="0.3">
      <c r="A23" s="3">
        <v>15</v>
      </c>
      <c r="B23" s="4">
        <v>4.75E-4</v>
      </c>
      <c r="I23" s="11">
        <f t="shared" si="6"/>
        <v>30</v>
      </c>
      <c r="J23" s="7">
        <v>11</v>
      </c>
      <c r="K23" s="7">
        <f t="shared" si="7"/>
        <v>41</v>
      </c>
      <c r="L23" s="7">
        <f t="shared" si="8"/>
        <v>0.27822731468124529</v>
      </c>
      <c r="M23" s="7">
        <f t="shared" si="0"/>
        <v>1.0870000000000001E-3</v>
      </c>
      <c r="N23" s="7">
        <f t="shared" si="1"/>
        <v>0.99891300000000005</v>
      </c>
      <c r="O23" s="7">
        <f t="shared" si="9"/>
        <v>0.99085516649382277</v>
      </c>
      <c r="P23" s="7">
        <v>12</v>
      </c>
      <c r="Q23" s="18">
        <f t="shared" si="2"/>
        <v>539.40130342924499</v>
      </c>
      <c r="Z23" s="7">
        <v>11</v>
      </c>
      <c r="AA23" s="7"/>
      <c r="AB23" s="25">
        <v>500</v>
      </c>
      <c r="AC23" s="25">
        <v>30</v>
      </c>
      <c r="AD23" s="7"/>
      <c r="AL23" s="7">
        <v>11</v>
      </c>
      <c r="AM23" s="7">
        <f t="shared" si="4"/>
        <v>0.30952788758288541</v>
      </c>
      <c r="AO23" s="7">
        <v>11</v>
      </c>
      <c r="AP23" s="7">
        <f t="shared" si="5"/>
        <v>0.30952788758288541</v>
      </c>
    </row>
    <row r="24" spans="1:42" ht="17.25" x14ac:dyDescent="0.3">
      <c r="A24" s="3">
        <v>16</v>
      </c>
      <c r="B24" s="5">
        <v>4.8200000000000001E-4</v>
      </c>
      <c r="D24" s="205" t="s">
        <v>32</v>
      </c>
      <c r="E24" s="206"/>
      <c r="F24" s="207"/>
      <c r="I24" s="11">
        <f t="shared" si="6"/>
        <v>30</v>
      </c>
      <c r="J24" s="7">
        <v>12</v>
      </c>
      <c r="K24" s="7">
        <f t="shared" si="7"/>
        <v>42</v>
      </c>
      <c r="L24" s="7">
        <f t="shared" si="8"/>
        <v>0.25009196825280472</v>
      </c>
      <c r="M24" s="7">
        <f t="shared" si="0"/>
        <v>1.145E-3</v>
      </c>
      <c r="N24" s="7">
        <f t="shared" si="1"/>
        <v>0.99885500000000005</v>
      </c>
      <c r="O24" s="7">
        <f t="shared" si="9"/>
        <v>0.98977810692784407</v>
      </c>
      <c r="P24" s="7">
        <v>13</v>
      </c>
      <c r="Q24" s="18">
        <f t="shared" si="2"/>
        <v>552.68501019207815</v>
      </c>
      <c r="Z24" s="7">
        <v>12</v>
      </c>
      <c r="AA24" s="7"/>
      <c r="AB24" s="25">
        <v>500</v>
      </c>
      <c r="AC24" s="25">
        <v>30</v>
      </c>
      <c r="AD24" s="7"/>
      <c r="AL24" s="7">
        <v>12</v>
      </c>
      <c r="AM24" s="7">
        <f t="shared" si="4"/>
        <v>0.27822731468124529</v>
      </c>
      <c r="AO24" s="7">
        <v>12</v>
      </c>
      <c r="AP24" s="7">
        <f t="shared" si="5"/>
        <v>0.27822731468124529</v>
      </c>
    </row>
    <row r="25" spans="1:42" ht="16.5" x14ac:dyDescent="0.3">
      <c r="A25" s="3">
        <v>17</v>
      </c>
      <c r="B25" s="4">
        <v>4.8899999999999996E-4</v>
      </c>
      <c r="D25" s="23" t="s">
        <v>20</v>
      </c>
      <c r="E25" s="23" t="s">
        <v>33</v>
      </c>
      <c r="F25" s="23" t="s">
        <v>13</v>
      </c>
      <c r="I25" s="11">
        <f t="shared" si="6"/>
        <v>30</v>
      </c>
      <c r="J25" s="7">
        <v>13</v>
      </c>
      <c r="K25" s="7">
        <f t="shared" si="7"/>
        <v>43</v>
      </c>
      <c r="L25" s="7">
        <f t="shared" si="8"/>
        <v>0.22480176921600423</v>
      </c>
      <c r="M25" s="7">
        <f t="shared" si="0"/>
        <v>1.2080000000000001E-3</v>
      </c>
      <c r="N25" s="7">
        <f t="shared" si="1"/>
        <v>0.99879200000000001</v>
      </c>
      <c r="O25" s="7">
        <f t="shared" si="9"/>
        <v>0.98864481099541168</v>
      </c>
      <c r="P25" s="7">
        <v>14</v>
      </c>
      <c r="Q25" s="18">
        <f t="shared" si="2"/>
        <v>563.80152357205475</v>
      </c>
      <c r="Z25" s="7">
        <v>13</v>
      </c>
      <c r="AA25" s="7"/>
      <c r="AB25" s="25">
        <v>500</v>
      </c>
      <c r="AC25" s="25">
        <v>30</v>
      </c>
      <c r="AD25" s="7"/>
      <c r="AL25" s="7">
        <v>13</v>
      </c>
      <c r="AM25" s="7">
        <f t="shared" si="4"/>
        <v>0.25009196825280472</v>
      </c>
      <c r="AO25" s="7">
        <v>13</v>
      </c>
      <c r="AP25" s="7">
        <f t="shared" si="5"/>
        <v>0.25009196825280472</v>
      </c>
    </row>
    <row r="26" spans="1:42" ht="16.5" x14ac:dyDescent="0.3">
      <c r="A26" s="3">
        <v>18</v>
      </c>
      <c r="B26" s="5">
        <v>4.9799999999999996E-4</v>
      </c>
      <c r="D26" s="7">
        <v>0</v>
      </c>
      <c r="E26" s="18">
        <f t="shared" ref="E26:E34" si="15">$F$17*(8-D26)</f>
        <v>2211.1012768764349</v>
      </c>
      <c r="F26" s="18">
        <f t="shared" ref="F26:F43" si="16">(D26+1)*$F$13</f>
        <v>150000</v>
      </c>
      <c r="I26" s="11">
        <f t="shared" si="6"/>
        <v>30</v>
      </c>
      <c r="J26" s="7">
        <v>14</v>
      </c>
      <c r="K26" s="7">
        <f t="shared" si="7"/>
        <v>44</v>
      </c>
      <c r="L26" s="7">
        <f t="shared" si="8"/>
        <v>0.20206900603685776</v>
      </c>
      <c r="M26" s="7">
        <f t="shared" si="0"/>
        <v>1.2780000000000001E-3</v>
      </c>
      <c r="N26" s="7">
        <f t="shared" si="1"/>
        <v>0.998722</v>
      </c>
      <c r="O26" s="7">
        <f t="shared" si="9"/>
        <v>0.98745052806372924</v>
      </c>
      <c r="P26" s="7">
        <v>15</v>
      </c>
      <c r="Q26" s="18">
        <f t="shared" si="2"/>
        <v>573.75756338303154</v>
      </c>
      <c r="Z26" s="7">
        <v>14</v>
      </c>
      <c r="AA26" s="7"/>
      <c r="AB26" s="25">
        <v>500</v>
      </c>
      <c r="AC26" s="25">
        <v>30</v>
      </c>
      <c r="AD26" s="7"/>
      <c r="AL26" s="7">
        <v>14</v>
      </c>
      <c r="AM26" s="7">
        <f t="shared" si="4"/>
        <v>0.22480176921600423</v>
      </c>
      <c r="AO26" s="7">
        <v>14</v>
      </c>
      <c r="AP26" s="7">
        <f t="shared" si="5"/>
        <v>0.22480176921600423</v>
      </c>
    </row>
    <row r="27" spans="1:42" ht="16.5" x14ac:dyDescent="0.3">
      <c r="A27" s="3">
        <v>19</v>
      </c>
      <c r="B27" s="4">
        <v>5.0699999999999996E-4</v>
      </c>
      <c r="D27" s="7">
        <v>1</v>
      </c>
      <c r="E27" s="18">
        <f t="shared" si="15"/>
        <v>1934.7136172668806</v>
      </c>
      <c r="F27" s="18">
        <f t="shared" si="16"/>
        <v>300000</v>
      </c>
      <c r="I27" s="11">
        <f t="shared" si="6"/>
        <v>30</v>
      </c>
      <c r="J27" s="7">
        <v>15</v>
      </c>
      <c r="K27" s="7">
        <f t="shared" si="7"/>
        <v>45</v>
      </c>
      <c r="L27" s="7">
        <f t="shared" si="8"/>
        <v>0.18163506160616424</v>
      </c>
      <c r="M27" s="7">
        <f t="shared" si="0"/>
        <v>1.353E-3</v>
      </c>
      <c r="N27" s="7">
        <f t="shared" si="1"/>
        <v>0.99864699999999995</v>
      </c>
      <c r="O27" s="7">
        <f t="shared" si="9"/>
        <v>0.98618856628886375</v>
      </c>
      <c r="P27" s="7">
        <v>16</v>
      </c>
      <c r="Q27" s="18">
        <f t="shared" si="2"/>
        <v>581.65931424902988</v>
      </c>
      <c r="Z27" s="7">
        <v>15</v>
      </c>
      <c r="AA27" s="7"/>
      <c r="AB27" s="25">
        <v>500</v>
      </c>
      <c r="AC27" s="25">
        <v>30</v>
      </c>
      <c r="AD27" s="7"/>
      <c r="AL27" s="7">
        <v>15</v>
      </c>
      <c r="AM27" s="7">
        <f t="shared" si="4"/>
        <v>0.20206900603685776</v>
      </c>
      <c r="AO27" s="7">
        <v>15</v>
      </c>
      <c r="AP27" s="7">
        <f t="shared" si="5"/>
        <v>0.20206900603685776</v>
      </c>
    </row>
    <row r="28" spans="1:42" ht="16.5" x14ac:dyDescent="0.3">
      <c r="A28" s="3">
        <v>20</v>
      </c>
      <c r="B28" s="5">
        <v>5.1699999999999999E-4</v>
      </c>
      <c r="D28" s="7">
        <v>2</v>
      </c>
      <c r="E28" s="18">
        <f t="shared" si="15"/>
        <v>1658.3259576573262</v>
      </c>
      <c r="F28" s="18">
        <f t="shared" si="16"/>
        <v>450000</v>
      </c>
      <c r="I28" s="11">
        <f t="shared" si="6"/>
        <v>30</v>
      </c>
      <c r="J28" s="7">
        <v>16</v>
      </c>
      <c r="K28" s="7">
        <f t="shared" si="7"/>
        <v>46</v>
      </c>
      <c r="L28" s="7">
        <f t="shared" si="8"/>
        <v>0.16326747110666448</v>
      </c>
      <c r="M28" s="7">
        <f t="shared" si="0"/>
        <v>1.4350000000000001E-3</v>
      </c>
      <c r="N28" s="7">
        <f t="shared" si="1"/>
        <v>0.99856500000000004</v>
      </c>
      <c r="O28" s="7">
        <f t="shared" si="9"/>
        <v>0.98485425315867492</v>
      </c>
      <c r="P28" s="7">
        <v>17</v>
      </c>
      <c r="Q28" s="18">
        <f t="shared" si="2"/>
        <v>588.3878717605146</v>
      </c>
      <c r="Z28" s="7">
        <v>16</v>
      </c>
      <c r="AA28" s="7"/>
      <c r="AB28" s="25">
        <v>500</v>
      </c>
      <c r="AC28" s="25">
        <v>30</v>
      </c>
      <c r="AD28" s="7"/>
      <c r="AL28" s="7">
        <v>16</v>
      </c>
      <c r="AM28" s="7">
        <f t="shared" si="4"/>
        <v>0.18163506160616424</v>
      </c>
      <c r="AO28" s="7">
        <v>16</v>
      </c>
      <c r="AP28" s="7">
        <f t="shared" si="5"/>
        <v>0.18163506160616424</v>
      </c>
    </row>
    <row r="29" spans="1:42" ht="16.5" x14ac:dyDescent="0.3">
      <c r="A29" s="3">
        <v>21</v>
      </c>
      <c r="B29" s="4">
        <v>5.2800000000000004E-4</v>
      </c>
      <c r="D29" s="7">
        <v>3</v>
      </c>
      <c r="E29" s="18">
        <f t="shared" si="15"/>
        <v>1381.9382980477717</v>
      </c>
      <c r="F29" s="18">
        <f t="shared" si="16"/>
        <v>600000</v>
      </c>
      <c r="I29" s="11">
        <f t="shared" si="6"/>
        <v>30</v>
      </c>
      <c r="J29" s="7">
        <v>17</v>
      </c>
      <c r="K29" s="7">
        <f t="shared" si="7"/>
        <v>47</v>
      </c>
      <c r="L29" s="7">
        <f t="shared" si="8"/>
        <v>0.14675727739924896</v>
      </c>
      <c r="M29" s="7">
        <f t="shared" si="0"/>
        <v>1.5250000000000001E-3</v>
      </c>
      <c r="N29" s="7">
        <f t="shared" si="1"/>
        <v>0.998475</v>
      </c>
      <c r="O29" s="7">
        <f t="shared" si="9"/>
        <v>0.98344098730539231</v>
      </c>
      <c r="P29" s="7">
        <v>18</v>
      </c>
      <c r="Q29" s="18">
        <f t="shared" si="2"/>
        <v>594.2669239281978</v>
      </c>
      <c r="Z29" s="7">
        <v>17</v>
      </c>
      <c r="AA29" s="7"/>
      <c r="AB29" s="25">
        <v>500</v>
      </c>
      <c r="AC29" s="25">
        <v>30</v>
      </c>
      <c r="AD29" s="7"/>
      <c r="AL29" s="7">
        <v>17</v>
      </c>
      <c r="AM29" s="7">
        <f t="shared" si="4"/>
        <v>0.16326747110666448</v>
      </c>
      <c r="AO29" s="7">
        <v>17</v>
      </c>
      <c r="AP29" s="7">
        <f t="shared" si="5"/>
        <v>0.16326747110666448</v>
      </c>
    </row>
    <row r="30" spans="1:42" ht="16.5" x14ac:dyDescent="0.3">
      <c r="A30" s="3">
        <v>22</v>
      </c>
      <c r="B30" s="5">
        <v>5.4000000000000001E-4</v>
      </c>
      <c r="D30" s="7">
        <v>4</v>
      </c>
      <c r="E30" s="18">
        <f t="shared" si="15"/>
        <v>1105.5506384382174</v>
      </c>
      <c r="F30" s="18">
        <f t="shared" si="16"/>
        <v>750000</v>
      </c>
      <c r="I30" s="8"/>
      <c r="Q30" s="17"/>
    </row>
    <row r="31" spans="1:42" ht="16.5" x14ac:dyDescent="0.25">
      <c r="A31" s="3">
        <v>23</v>
      </c>
      <c r="B31" s="4">
        <v>5.53E-4</v>
      </c>
      <c r="D31" s="7">
        <v>5</v>
      </c>
      <c r="E31" s="18">
        <f t="shared" si="15"/>
        <v>829.16297882866309</v>
      </c>
      <c r="F31" s="18">
        <f t="shared" si="16"/>
        <v>900000</v>
      </c>
    </row>
    <row r="32" spans="1:42" ht="16.5" x14ac:dyDescent="0.25">
      <c r="A32" s="3">
        <v>24</v>
      </c>
      <c r="B32" s="5">
        <v>5.6700000000000001E-4</v>
      </c>
      <c r="D32" s="7">
        <v>6</v>
      </c>
      <c r="E32" s="18">
        <f t="shared" si="15"/>
        <v>552.77531921910872</v>
      </c>
      <c r="F32" s="18">
        <f t="shared" si="16"/>
        <v>1050000</v>
      </c>
    </row>
    <row r="33" spans="1:10" ht="16.5" x14ac:dyDescent="0.25">
      <c r="A33" s="3">
        <v>25</v>
      </c>
      <c r="B33" s="4">
        <v>5.8200000000000005E-4</v>
      </c>
      <c r="D33" s="7">
        <v>7</v>
      </c>
      <c r="E33" s="18">
        <f t="shared" si="15"/>
        <v>276.38765960955436</v>
      </c>
      <c r="F33" s="18">
        <f t="shared" si="16"/>
        <v>1200000</v>
      </c>
    </row>
    <row r="34" spans="1:10" ht="16.5" x14ac:dyDescent="0.25">
      <c r="A34" s="3">
        <v>26</v>
      </c>
      <c r="B34" s="5">
        <v>5.9800000000000001E-4</v>
      </c>
      <c r="D34" s="7">
        <v>8</v>
      </c>
      <c r="E34" s="18">
        <f t="shared" si="15"/>
        <v>0</v>
      </c>
      <c r="F34" s="18">
        <f t="shared" si="16"/>
        <v>1350000</v>
      </c>
      <c r="I34" s="204" t="s">
        <v>48</v>
      </c>
      <c r="J34" s="204"/>
    </row>
    <row r="35" spans="1:10" ht="16.5" x14ac:dyDescent="0.25">
      <c r="A35" s="3">
        <v>27</v>
      </c>
      <c r="B35" s="4">
        <v>6.1600000000000001E-4</v>
      </c>
      <c r="D35" s="7">
        <v>9</v>
      </c>
      <c r="E35" s="18">
        <v>0</v>
      </c>
      <c r="F35" s="18">
        <f t="shared" si="16"/>
        <v>1500000</v>
      </c>
      <c r="I35" s="7">
        <v>0</v>
      </c>
      <c r="J35" s="27">
        <v>0.1125</v>
      </c>
    </row>
    <row r="36" spans="1:10" ht="16.5" x14ac:dyDescent="0.25">
      <c r="A36" s="3">
        <v>28</v>
      </c>
      <c r="B36" s="5">
        <v>6.3500000000000004E-4</v>
      </c>
      <c r="D36" s="7">
        <v>10</v>
      </c>
      <c r="E36" s="18">
        <v>0</v>
      </c>
      <c r="F36" s="18">
        <f t="shared" si="16"/>
        <v>1650000</v>
      </c>
      <c r="I36" s="7">
        <v>1</v>
      </c>
      <c r="J36" s="27">
        <v>0.1125</v>
      </c>
    </row>
    <row r="37" spans="1:10" ht="16.5" x14ac:dyDescent="0.25">
      <c r="A37" s="3">
        <v>29</v>
      </c>
      <c r="B37" s="4">
        <v>6.5600000000000001E-4</v>
      </c>
      <c r="D37" s="7">
        <v>11</v>
      </c>
      <c r="E37" s="18">
        <v>0</v>
      </c>
      <c r="F37" s="18">
        <f t="shared" si="16"/>
        <v>1800000</v>
      </c>
      <c r="I37" s="7">
        <v>2</v>
      </c>
      <c r="J37" s="27">
        <v>0.1125</v>
      </c>
    </row>
    <row r="38" spans="1:10" ht="16.5" x14ac:dyDescent="0.25">
      <c r="A38" s="3">
        <v>30</v>
      </c>
      <c r="B38" s="5">
        <v>6.78E-4</v>
      </c>
      <c r="D38" s="7">
        <v>12</v>
      </c>
      <c r="E38" s="18">
        <v>0</v>
      </c>
      <c r="F38" s="18">
        <f t="shared" si="16"/>
        <v>1950000</v>
      </c>
      <c r="I38" s="7">
        <v>3</v>
      </c>
      <c r="J38" s="27">
        <v>0.1125</v>
      </c>
    </row>
    <row r="39" spans="1:10" ht="16.5" x14ac:dyDescent="0.25">
      <c r="A39" s="3">
        <v>31</v>
      </c>
      <c r="B39" s="4">
        <v>7.0299999999999996E-4</v>
      </c>
      <c r="D39" s="7">
        <v>13</v>
      </c>
      <c r="E39" s="18">
        <v>0</v>
      </c>
      <c r="F39" s="18">
        <f t="shared" si="16"/>
        <v>2100000</v>
      </c>
      <c r="I39" s="7">
        <v>4</v>
      </c>
      <c r="J39" s="27">
        <v>0.1125</v>
      </c>
    </row>
    <row r="40" spans="1:10" ht="16.5" x14ac:dyDescent="0.25">
      <c r="A40" s="3">
        <v>32</v>
      </c>
      <c r="B40" s="5">
        <v>7.2900000000000005E-4</v>
      </c>
      <c r="D40" s="7">
        <v>14</v>
      </c>
      <c r="E40" s="18">
        <v>0</v>
      </c>
      <c r="F40" s="18">
        <f t="shared" si="16"/>
        <v>2250000</v>
      </c>
      <c r="I40" s="7">
        <v>5</v>
      </c>
      <c r="J40" s="27">
        <v>0.1125</v>
      </c>
    </row>
    <row r="41" spans="1:10" ht="16.5" x14ac:dyDescent="0.25">
      <c r="A41" s="3">
        <v>33</v>
      </c>
      <c r="B41" s="4">
        <v>7.5699999999999997E-4</v>
      </c>
      <c r="D41" s="7">
        <v>15</v>
      </c>
      <c r="E41" s="18">
        <v>0</v>
      </c>
      <c r="F41" s="18">
        <f t="shared" si="16"/>
        <v>2400000</v>
      </c>
      <c r="I41" s="7">
        <v>6</v>
      </c>
      <c r="J41" s="27">
        <v>0.1125</v>
      </c>
    </row>
    <row r="42" spans="1:10" ht="16.5" x14ac:dyDescent="0.25">
      <c r="A42" s="3">
        <v>34</v>
      </c>
      <c r="B42" s="5">
        <v>7.8799999999999996E-4</v>
      </c>
      <c r="D42" s="7">
        <v>16</v>
      </c>
      <c r="E42" s="18">
        <v>0</v>
      </c>
      <c r="F42" s="18">
        <f t="shared" si="16"/>
        <v>2550000</v>
      </c>
      <c r="I42" s="7">
        <v>7</v>
      </c>
      <c r="J42" s="27">
        <v>0.1125</v>
      </c>
    </row>
    <row r="43" spans="1:10" ht="16.5" x14ac:dyDescent="0.25">
      <c r="A43" s="3">
        <v>35</v>
      </c>
      <c r="B43" s="4">
        <v>8.2100000000000001E-4</v>
      </c>
      <c r="D43" s="7">
        <v>17</v>
      </c>
      <c r="E43" s="18">
        <v>0</v>
      </c>
      <c r="F43" s="18">
        <f t="shared" si="16"/>
        <v>2700000</v>
      </c>
      <c r="I43" s="7">
        <v>8</v>
      </c>
      <c r="J43" s="27">
        <v>0.1125</v>
      </c>
    </row>
    <row r="44" spans="1:10" ht="16.5" x14ac:dyDescent="0.25">
      <c r="A44" s="3">
        <v>36</v>
      </c>
      <c r="B44" s="5">
        <v>8.5700000000000001E-4</v>
      </c>
      <c r="I44" s="7">
        <v>9</v>
      </c>
      <c r="J44" s="27">
        <v>0.1125</v>
      </c>
    </row>
    <row r="45" spans="1:10" ht="16.5" x14ac:dyDescent="0.25">
      <c r="A45" s="3">
        <v>37</v>
      </c>
      <c r="B45" s="5">
        <v>8.9599999999999999E-4</v>
      </c>
      <c r="I45" s="7">
        <v>10</v>
      </c>
      <c r="J45" s="27">
        <v>0.1125</v>
      </c>
    </row>
    <row r="46" spans="1:10" ht="17.25" x14ac:dyDescent="0.3">
      <c r="A46" s="3">
        <v>38</v>
      </c>
      <c r="B46" s="4">
        <v>9.3800000000000003E-4</v>
      </c>
      <c r="D46" s="205" t="s">
        <v>47</v>
      </c>
      <c r="E46" s="206"/>
      <c r="F46" s="207"/>
      <c r="I46" s="7">
        <v>11</v>
      </c>
      <c r="J46" s="27">
        <v>0.1125</v>
      </c>
    </row>
    <row r="47" spans="1:10" ht="16.5" x14ac:dyDescent="0.25">
      <c r="A47" s="3">
        <v>39</v>
      </c>
      <c r="B47" s="5">
        <v>9.8299999999999993E-4</v>
      </c>
      <c r="D47" s="23" t="s">
        <v>20</v>
      </c>
      <c r="E47" s="23" t="s">
        <v>33</v>
      </c>
      <c r="F47" s="23" t="s">
        <v>13</v>
      </c>
      <c r="I47" s="7">
        <v>12</v>
      </c>
      <c r="J47" s="27">
        <v>0.1125</v>
      </c>
    </row>
    <row r="48" spans="1:10" ht="16.5" x14ac:dyDescent="0.25">
      <c r="A48" s="3">
        <v>40</v>
      </c>
      <c r="B48" s="4">
        <v>1.0330000000000001E-3</v>
      </c>
      <c r="D48" s="7">
        <v>0</v>
      </c>
      <c r="E48" s="18">
        <f t="shared" ref="E48:E55" si="17">$F$21*(8-D48)</f>
        <v>6311.0698007223837</v>
      </c>
      <c r="F48" s="18">
        <f t="shared" ref="F48:F65" si="18">(D48+1)*$F$13</f>
        <v>150000</v>
      </c>
      <c r="I48" s="7">
        <v>13</v>
      </c>
      <c r="J48" s="27">
        <v>0.1125</v>
      </c>
    </row>
    <row r="49" spans="1:10" ht="16.5" x14ac:dyDescent="0.25">
      <c r="A49" s="3">
        <v>41</v>
      </c>
      <c r="B49" s="5">
        <v>1.0870000000000001E-3</v>
      </c>
      <c r="D49" s="7">
        <v>1</v>
      </c>
      <c r="E49" s="18">
        <f>$F$21*(8-D49)</f>
        <v>5522.1860756320857</v>
      </c>
      <c r="F49" s="18">
        <f t="shared" si="18"/>
        <v>300000</v>
      </c>
      <c r="I49" s="7">
        <v>14</v>
      </c>
      <c r="J49" s="27">
        <v>0.1125</v>
      </c>
    </row>
    <row r="50" spans="1:10" ht="16.5" x14ac:dyDescent="0.25">
      <c r="A50" s="3">
        <v>42</v>
      </c>
      <c r="B50" s="4">
        <v>1.145E-3</v>
      </c>
      <c r="D50" s="7">
        <v>2</v>
      </c>
      <c r="E50" s="18">
        <f t="shared" si="17"/>
        <v>4733.3023505417877</v>
      </c>
      <c r="F50" s="18">
        <f t="shared" si="18"/>
        <v>450000</v>
      </c>
      <c r="I50" s="7">
        <v>15</v>
      </c>
      <c r="J50" s="27">
        <v>0.1125</v>
      </c>
    </row>
    <row r="51" spans="1:10" ht="16.5" x14ac:dyDescent="0.25">
      <c r="A51" s="3">
        <v>43</v>
      </c>
      <c r="B51" s="5">
        <v>1.2080000000000001E-3</v>
      </c>
      <c r="D51" s="7">
        <v>3</v>
      </c>
      <c r="E51" s="18">
        <f t="shared" si="17"/>
        <v>3944.4186254514898</v>
      </c>
      <c r="F51" s="18">
        <f t="shared" si="18"/>
        <v>600000</v>
      </c>
      <c r="I51" s="7">
        <v>16</v>
      </c>
      <c r="J51" s="27">
        <v>0.1125</v>
      </c>
    </row>
    <row r="52" spans="1:10" ht="16.5" x14ac:dyDescent="0.25">
      <c r="A52" s="3">
        <v>44</v>
      </c>
      <c r="B52" s="4">
        <v>1.2780000000000001E-3</v>
      </c>
      <c r="D52" s="7">
        <v>4</v>
      </c>
      <c r="E52" s="18">
        <f t="shared" si="17"/>
        <v>3155.5349003611918</v>
      </c>
      <c r="F52" s="18">
        <f t="shared" si="18"/>
        <v>750000</v>
      </c>
      <c r="I52" s="7">
        <v>17</v>
      </c>
      <c r="J52" s="27">
        <v>0.1125</v>
      </c>
    </row>
    <row r="53" spans="1:10" ht="16.5" x14ac:dyDescent="0.25">
      <c r="A53" s="3">
        <v>45</v>
      </c>
      <c r="B53" s="5">
        <v>1.353E-3</v>
      </c>
      <c r="D53" s="7">
        <v>5</v>
      </c>
      <c r="E53" s="18">
        <f t="shared" si="17"/>
        <v>2366.6511752708939</v>
      </c>
      <c r="F53" s="18">
        <f t="shared" si="18"/>
        <v>900000</v>
      </c>
      <c r="I53" s="7">
        <v>18</v>
      </c>
      <c r="J53" s="27">
        <v>0.1125</v>
      </c>
    </row>
    <row r="54" spans="1:10" ht="16.5" x14ac:dyDescent="0.25">
      <c r="A54" s="3">
        <v>46</v>
      </c>
      <c r="B54" s="4">
        <v>1.4350000000000001E-3</v>
      </c>
      <c r="D54" s="7">
        <v>6</v>
      </c>
      <c r="E54" s="18">
        <f t="shared" si="17"/>
        <v>1577.7674501805959</v>
      </c>
      <c r="F54" s="18">
        <f t="shared" si="18"/>
        <v>1050000</v>
      </c>
      <c r="I54" s="7">
        <v>19</v>
      </c>
      <c r="J54" s="27">
        <v>0.1125</v>
      </c>
    </row>
    <row r="55" spans="1:10" ht="16.5" x14ac:dyDescent="0.25">
      <c r="A55" s="3">
        <v>47</v>
      </c>
      <c r="B55" s="5">
        <v>1.5250000000000001E-3</v>
      </c>
      <c r="D55" s="7">
        <v>7</v>
      </c>
      <c r="E55" s="18">
        <f t="shared" si="17"/>
        <v>788.88372509029796</v>
      </c>
      <c r="F55" s="18">
        <f t="shared" si="18"/>
        <v>1200000</v>
      </c>
      <c r="I55" s="7">
        <v>20</v>
      </c>
      <c r="J55" s="27">
        <v>0.1125</v>
      </c>
    </row>
    <row r="56" spans="1:10" ht="16.5" x14ac:dyDescent="0.25">
      <c r="A56" s="3">
        <v>48</v>
      </c>
      <c r="B56" s="4">
        <v>1.6230000000000001E-3</v>
      </c>
      <c r="D56" s="7">
        <v>8</v>
      </c>
      <c r="E56" s="18">
        <v>0</v>
      </c>
      <c r="F56" s="18">
        <f t="shared" si="18"/>
        <v>1350000</v>
      </c>
    </row>
    <row r="57" spans="1:10" ht="16.5" x14ac:dyDescent="0.25">
      <c r="A57" s="3">
        <v>49</v>
      </c>
      <c r="B57" s="5">
        <v>1.73E-3</v>
      </c>
      <c r="D57" s="7">
        <v>9</v>
      </c>
      <c r="E57" s="18">
        <v>0</v>
      </c>
      <c r="F57" s="18">
        <f t="shared" si="18"/>
        <v>1500000</v>
      </c>
    </row>
    <row r="58" spans="1:10" ht="16.5" x14ac:dyDescent="0.25">
      <c r="A58" s="3">
        <v>50</v>
      </c>
      <c r="B58" s="4">
        <v>1.848E-3</v>
      </c>
      <c r="D58" s="7">
        <v>10</v>
      </c>
      <c r="E58" s="18">
        <v>0</v>
      </c>
      <c r="F58" s="18">
        <f t="shared" si="18"/>
        <v>1650000</v>
      </c>
    </row>
    <row r="59" spans="1:10" ht="16.5" x14ac:dyDescent="0.25">
      <c r="A59" s="3">
        <v>51</v>
      </c>
      <c r="B59" s="5">
        <v>1.977E-3</v>
      </c>
      <c r="D59" s="7">
        <v>11</v>
      </c>
      <c r="E59" s="18">
        <v>0</v>
      </c>
      <c r="F59" s="18">
        <f t="shared" si="18"/>
        <v>1800000</v>
      </c>
    </row>
    <row r="60" spans="1:10" ht="16.5" x14ac:dyDescent="0.25">
      <c r="A60" s="3">
        <v>52</v>
      </c>
      <c r="B60" s="4">
        <v>2.1189999999999998E-3</v>
      </c>
      <c r="D60" s="7">
        <v>12</v>
      </c>
      <c r="E60" s="18">
        <v>0</v>
      </c>
      <c r="F60" s="18">
        <f t="shared" si="18"/>
        <v>1950000</v>
      </c>
    </row>
    <row r="61" spans="1:10" ht="16.5" x14ac:dyDescent="0.25">
      <c r="A61" s="3">
        <v>53</v>
      </c>
      <c r="B61" s="5">
        <v>2.274E-3</v>
      </c>
      <c r="D61" s="7">
        <v>13</v>
      </c>
      <c r="E61" s="18">
        <v>0</v>
      </c>
      <c r="F61" s="18">
        <f t="shared" si="18"/>
        <v>2100000</v>
      </c>
    </row>
    <row r="62" spans="1:10" ht="16.5" x14ac:dyDescent="0.25">
      <c r="A62" s="3">
        <v>54</v>
      </c>
      <c r="B62" s="4">
        <v>2.4459999999999998E-3</v>
      </c>
      <c r="D62" s="7">
        <v>14</v>
      </c>
      <c r="E62" s="18">
        <v>0</v>
      </c>
      <c r="F62" s="18">
        <f t="shared" si="18"/>
        <v>2250000</v>
      </c>
    </row>
    <row r="63" spans="1:10" ht="16.5" x14ac:dyDescent="0.25">
      <c r="A63" s="3">
        <v>55</v>
      </c>
      <c r="B63" s="5">
        <v>2.6350000000000002E-3</v>
      </c>
      <c r="D63" s="7">
        <v>15</v>
      </c>
      <c r="E63" s="18">
        <v>0</v>
      </c>
      <c r="F63" s="18">
        <f t="shared" si="18"/>
        <v>2400000</v>
      </c>
    </row>
    <row r="64" spans="1:10" ht="16.5" x14ac:dyDescent="0.25">
      <c r="A64" s="3">
        <v>56</v>
      </c>
      <c r="B64" s="4">
        <v>2.8440000000000002E-3</v>
      </c>
      <c r="D64" s="7">
        <v>16</v>
      </c>
      <c r="E64" s="18">
        <v>0</v>
      </c>
      <c r="F64" s="18">
        <f t="shared" si="18"/>
        <v>2550000</v>
      </c>
    </row>
    <row r="65" spans="1:6" ht="16.5" x14ac:dyDescent="0.25">
      <c r="A65" s="3">
        <v>57</v>
      </c>
      <c r="B65" s="5">
        <v>3.0739999999999999E-3</v>
      </c>
      <c r="D65" s="7">
        <v>17</v>
      </c>
      <c r="E65" s="18">
        <v>0</v>
      </c>
      <c r="F65" s="18">
        <f t="shared" si="18"/>
        <v>2700000</v>
      </c>
    </row>
    <row r="66" spans="1:6" ht="16.5" x14ac:dyDescent="0.25">
      <c r="A66" s="3">
        <v>58</v>
      </c>
      <c r="B66" s="4">
        <v>3.3289999999999999E-3</v>
      </c>
    </row>
    <row r="67" spans="1:6" ht="16.5" x14ac:dyDescent="0.25">
      <c r="A67" s="3">
        <v>59</v>
      </c>
      <c r="B67" s="5">
        <v>3.6120000000000002E-3</v>
      </c>
    </row>
    <row r="68" spans="1:6" ht="16.5" x14ac:dyDescent="0.25">
      <c r="A68" s="3">
        <v>60</v>
      </c>
      <c r="B68" s="4">
        <v>3.9259999999999998E-3</v>
      </c>
    </row>
    <row r="69" spans="1:6" ht="16.5" x14ac:dyDescent="0.25">
      <c r="A69" s="3">
        <v>61</v>
      </c>
      <c r="B69" s="5">
        <v>4.2750000000000002E-3</v>
      </c>
    </row>
    <row r="70" spans="1:6" ht="16.5" x14ac:dyDescent="0.25">
      <c r="A70" s="3">
        <v>62</v>
      </c>
      <c r="B70" s="4">
        <v>4.6639999999999997E-3</v>
      </c>
    </row>
    <row r="71" spans="1:6" ht="16.5" x14ac:dyDescent="0.25">
      <c r="A71" s="3">
        <v>63</v>
      </c>
      <c r="B71" s="5">
        <v>5.0959999999999998E-3</v>
      </c>
    </row>
    <row r="72" spans="1:6" ht="16.5" x14ac:dyDescent="0.25">
      <c r="A72" s="3">
        <v>64</v>
      </c>
      <c r="B72" s="4">
        <v>5.5789999999999998E-3</v>
      </c>
    </row>
    <row r="73" spans="1:6" ht="16.5" x14ac:dyDescent="0.25">
      <c r="A73" s="3">
        <v>65</v>
      </c>
      <c r="B73" s="5">
        <v>6.1190000000000003E-3</v>
      </c>
    </row>
    <row r="74" spans="1:6" ht="16.5" x14ac:dyDescent="0.25">
      <c r="A74" s="3">
        <v>66</v>
      </c>
      <c r="B74" s="4">
        <v>6.7229999999999998E-3</v>
      </c>
    </row>
    <row r="75" spans="1:6" ht="16.5" x14ac:dyDescent="0.25">
      <c r="A75" s="3">
        <v>67</v>
      </c>
      <c r="B75" s="5">
        <v>7.4000000000000003E-3</v>
      </c>
    </row>
    <row r="76" spans="1:6" ht="16.5" x14ac:dyDescent="0.25">
      <c r="A76" s="3">
        <v>68</v>
      </c>
      <c r="B76" s="4">
        <v>8.1600000000000006E-3</v>
      </c>
    </row>
    <row r="77" spans="1:6" ht="16.5" x14ac:dyDescent="0.25">
      <c r="A77" s="3">
        <v>69</v>
      </c>
      <c r="B77" s="5">
        <v>9.0150000000000004E-3</v>
      </c>
    </row>
    <row r="78" spans="1:6" ht="16.5" x14ac:dyDescent="0.25">
      <c r="A78" s="3">
        <v>70</v>
      </c>
      <c r="B78" s="4">
        <v>9.9769999999999998E-3</v>
      </c>
    </row>
    <row r="79" spans="1:6" ht="16.5" x14ac:dyDescent="0.25">
      <c r="A79" s="3">
        <v>71</v>
      </c>
      <c r="B79" s="5">
        <v>1.1061E-2</v>
      </c>
    </row>
    <row r="80" spans="1:6" ht="16.5" x14ac:dyDescent="0.25">
      <c r="A80" s="3">
        <v>72</v>
      </c>
      <c r="B80" s="4">
        <v>1.2285000000000001E-2</v>
      </c>
    </row>
    <row r="81" spans="1:2" ht="16.5" x14ac:dyDescent="0.25">
      <c r="A81" s="3">
        <v>73</v>
      </c>
      <c r="B81" s="5">
        <v>1.3668E-2</v>
      </c>
    </row>
    <row r="82" spans="1:2" ht="16.5" x14ac:dyDescent="0.25">
      <c r="A82" s="3">
        <v>74</v>
      </c>
      <c r="B82" s="5">
        <v>1.5235E-2</v>
      </c>
    </row>
    <row r="83" spans="1:2" ht="16.5" x14ac:dyDescent="0.25">
      <c r="A83" s="3">
        <v>75</v>
      </c>
      <c r="B83" s="4">
        <v>1.7009E-2</v>
      </c>
    </row>
    <row r="84" spans="1:2" ht="16.5" x14ac:dyDescent="0.25">
      <c r="A84" s="3">
        <v>76</v>
      </c>
      <c r="B84" s="5">
        <v>1.9023999999999999E-2</v>
      </c>
    </row>
    <row r="85" spans="1:2" ht="16.5" x14ac:dyDescent="0.25">
      <c r="A85" s="3">
        <v>77</v>
      </c>
      <c r="B85" s="4">
        <v>2.1312000000000001E-2</v>
      </c>
    </row>
    <row r="86" spans="1:2" ht="16.5" x14ac:dyDescent="0.25">
      <c r="A86" s="3">
        <v>78</v>
      </c>
      <c r="B86" s="5">
        <v>2.3914999999999999E-2</v>
      </c>
    </row>
    <row r="87" spans="1:2" ht="16.5" x14ac:dyDescent="0.25">
      <c r="A87" s="3">
        <v>79</v>
      </c>
      <c r="B87" s="4">
        <v>2.6879E-2</v>
      </c>
    </row>
    <row r="88" spans="1:2" ht="16.5" x14ac:dyDescent="0.25">
      <c r="A88" s="3">
        <v>80</v>
      </c>
      <c r="B88" s="5">
        <v>3.0256999999999999E-2</v>
      </c>
    </row>
    <row r="89" spans="1:2" ht="16.5" x14ac:dyDescent="0.25">
      <c r="A89" s="3">
        <v>81</v>
      </c>
      <c r="B89" s="4">
        <v>3.4110000000000001E-2</v>
      </c>
    </row>
    <row r="90" spans="1:2" ht="16.5" x14ac:dyDescent="0.25">
      <c r="A90" s="3">
        <v>82</v>
      </c>
      <c r="B90" s="5">
        <v>3.8509000000000002E-2</v>
      </c>
    </row>
    <row r="91" spans="1:2" ht="16.5" x14ac:dyDescent="0.25">
      <c r="A91" s="3">
        <v>83</v>
      </c>
      <c r="B91" s="4">
        <v>4.3533000000000002E-2</v>
      </c>
    </row>
    <row r="92" spans="1:2" ht="16.5" x14ac:dyDescent="0.25">
      <c r="A92" s="3">
        <v>84</v>
      </c>
      <c r="B92" s="5">
        <v>4.9273999999999998E-2</v>
      </c>
    </row>
    <row r="93" spans="1:2" ht="16.5" x14ac:dyDescent="0.25">
      <c r="A93" s="3">
        <v>85</v>
      </c>
      <c r="B93" s="4">
        <v>5.5833000000000001E-2</v>
      </c>
    </row>
    <row r="94" spans="1:2" ht="16.5" x14ac:dyDescent="0.25">
      <c r="A94" s="3">
        <v>86</v>
      </c>
      <c r="B94" s="5">
        <v>6.3328999999999996E-2</v>
      </c>
    </row>
    <row r="95" spans="1:2" ht="16.5" x14ac:dyDescent="0.25">
      <c r="A95" s="3">
        <v>87</v>
      </c>
      <c r="B95" s="4">
        <v>7.1888999999999995E-2</v>
      </c>
    </row>
    <row r="96" spans="1:2" ht="16.5" x14ac:dyDescent="0.25">
      <c r="A96" s="3">
        <v>88</v>
      </c>
      <c r="B96" s="5">
        <v>8.1659999999999996E-2</v>
      </c>
    </row>
    <row r="97" spans="1:2" ht="16.5" x14ac:dyDescent="0.25">
      <c r="A97" s="3">
        <v>89</v>
      </c>
      <c r="B97" s="4">
        <v>9.2798000000000005E-2</v>
      </c>
    </row>
    <row r="98" spans="1:2" ht="16.5" x14ac:dyDescent="0.25">
      <c r="A98" s="3">
        <v>90</v>
      </c>
      <c r="B98" s="5">
        <v>0.105476</v>
      </c>
    </row>
    <row r="99" spans="1:2" ht="16.5" x14ac:dyDescent="0.25">
      <c r="A99" s="3">
        <v>91</v>
      </c>
      <c r="B99" s="4">
        <v>0.119875</v>
      </c>
    </row>
    <row r="100" spans="1:2" ht="16.5" x14ac:dyDescent="0.25">
      <c r="A100" s="3">
        <v>92</v>
      </c>
      <c r="B100" s="5">
        <v>0.136184</v>
      </c>
    </row>
    <row r="101" spans="1:2" ht="16.5" x14ac:dyDescent="0.25">
      <c r="A101" s="3">
        <v>93</v>
      </c>
      <c r="B101" s="4">
        <v>0.15459400000000001</v>
      </c>
    </row>
    <row r="102" spans="1:2" ht="16.5" x14ac:dyDescent="0.25">
      <c r="A102" s="3">
        <v>94</v>
      </c>
      <c r="B102" s="5">
        <v>0.175291</v>
      </c>
    </row>
    <row r="103" spans="1:2" ht="16.5" x14ac:dyDescent="0.25">
      <c r="A103" s="3">
        <v>95</v>
      </c>
      <c r="B103" s="4">
        <v>0.19844100000000001</v>
      </c>
    </row>
    <row r="104" spans="1:2" ht="16.5" x14ac:dyDescent="0.25">
      <c r="A104" s="3">
        <v>96</v>
      </c>
      <c r="B104" s="5">
        <v>0.22418399999999999</v>
      </c>
    </row>
    <row r="105" spans="1:2" ht="16.5" x14ac:dyDescent="0.25">
      <c r="A105" s="3">
        <v>97</v>
      </c>
      <c r="B105" s="4">
        <v>0.25261299999999998</v>
      </c>
    </row>
    <row r="106" spans="1:2" ht="16.5" x14ac:dyDescent="0.25">
      <c r="A106" s="3">
        <v>98</v>
      </c>
      <c r="B106" s="5">
        <v>0.28376000000000001</v>
      </c>
    </row>
    <row r="107" spans="1:2" ht="16.5" x14ac:dyDescent="0.25">
      <c r="A107" s="3">
        <v>99</v>
      </c>
      <c r="B107" s="4">
        <v>0.31757600000000002</v>
      </c>
    </row>
    <row r="108" spans="1:2" ht="16.5" x14ac:dyDescent="0.25">
      <c r="A108" s="3">
        <v>100</v>
      </c>
      <c r="B108" s="5">
        <v>0.35391899999999998</v>
      </c>
    </row>
    <row r="109" spans="1:2" ht="16.5" x14ac:dyDescent="0.25">
      <c r="A109" s="3">
        <v>101</v>
      </c>
      <c r="B109" s="4">
        <v>0.39254</v>
      </c>
    </row>
    <row r="110" spans="1:2" ht="16.5" x14ac:dyDescent="0.25">
      <c r="A110" s="3">
        <v>102</v>
      </c>
      <c r="B110" s="5">
        <v>0.43307800000000002</v>
      </c>
    </row>
    <row r="111" spans="1:2" ht="16.5" x14ac:dyDescent="0.25">
      <c r="A111" s="3">
        <v>103</v>
      </c>
      <c r="B111" s="4">
        <v>0.47506799999999999</v>
      </c>
    </row>
    <row r="112" spans="1:2" ht="16.5" x14ac:dyDescent="0.25">
      <c r="A112" s="3">
        <v>104</v>
      </c>
      <c r="B112" s="5">
        <v>0.51794899999999999</v>
      </c>
    </row>
    <row r="113" spans="1:2" ht="16.5" x14ac:dyDescent="0.25">
      <c r="A113" s="3">
        <v>105</v>
      </c>
      <c r="B113" s="4">
        <v>0.56109900000000001</v>
      </c>
    </row>
    <row r="114" spans="1:2" ht="16.5" x14ac:dyDescent="0.25">
      <c r="A114" s="3">
        <v>106</v>
      </c>
      <c r="B114" s="5">
        <v>0.60386099999999998</v>
      </c>
    </row>
    <row r="115" spans="1:2" ht="16.5" x14ac:dyDescent="0.25">
      <c r="A115" s="3">
        <v>107</v>
      </c>
      <c r="B115" s="4">
        <v>0.64558899999999997</v>
      </c>
    </row>
    <row r="116" spans="1:2" ht="16.5" x14ac:dyDescent="0.25">
      <c r="A116" s="3">
        <v>108</v>
      </c>
      <c r="B116" s="5">
        <v>0.68568200000000001</v>
      </c>
    </row>
    <row r="117" spans="1:2" ht="16.5" x14ac:dyDescent="0.25">
      <c r="A117" s="3">
        <v>109</v>
      </c>
      <c r="B117" s="4">
        <v>0.72362000000000004</v>
      </c>
    </row>
    <row r="118" spans="1:2" ht="16.5" x14ac:dyDescent="0.25">
      <c r="A118" s="3">
        <v>110</v>
      </c>
      <c r="B118" s="5">
        <v>0.75899099999999997</v>
      </c>
    </row>
    <row r="119" spans="1:2" ht="16.5" x14ac:dyDescent="0.25">
      <c r="A119" s="6">
        <v>111</v>
      </c>
      <c r="B119" s="5">
        <v>1</v>
      </c>
    </row>
  </sheetData>
  <mergeCells count="17">
    <mergeCell ref="S8:U8"/>
    <mergeCell ref="D9:E9"/>
    <mergeCell ref="I34:J34"/>
    <mergeCell ref="D46:F46"/>
    <mergeCell ref="Z10:AD10"/>
    <mergeCell ref="D24:F24"/>
    <mergeCell ref="I9:J9"/>
    <mergeCell ref="A2:B2"/>
    <mergeCell ref="A3:B5"/>
    <mergeCell ref="A6:A7"/>
    <mergeCell ref="B6:B7"/>
    <mergeCell ref="E3:H3"/>
    <mergeCell ref="E4:H4"/>
    <mergeCell ref="E5:H5"/>
    <mergeCell ref="E6:H6"/>
    <mergeCell ref="E7:H7"/>
    <mergeCell ref="D3:D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07512-BC7D-4451-AB12-A23DE22B6CD0}">
  <sheetPr codeName="Hoja4"/>
  <dimension ref="B3:BJ117"/>
  <sheetViews>
    <sheetView topLeftCell="O1" zoomScaleNormal="100" workbookViewId="0">
      <selection activeCell="S4" sqref="S4"/>
    </sheetView>
  </sheetViews>
  <sheetFormatPr baseColWidth="10" defaultRowHeight="15" x14ac:dyDescent="0.25"/>
  <cols>
    <col min="1" max="1" width="4.5703125" customWidth="1"/>
    <col min="3" max="3" width="14.5703125" bestFit="1" customWidth="1"/>
    <col min="4" max="4" width="2.42578125" customWidth="1"/>
    <col min="7" max="7" width="4.85546875" customWidth="1"/>
    <col min="8" max="8" width="10.7109375" customWidth="1"/>
    <col min="9" max="9" width="17.42578125" customWidth="1"/>
    <col min="10" max="10" width="5.28515625" customWidth="1"/>
    <col min="11" max="11" width="19.140625" customWidth="1"/>
    <col min="12" max="12" width="26.28515625" customWidth="1"/>
    <col min="13" max="13" width="27.140625" customWidth="1"/>
    <col min="14" max="14" width="21.42578125" customWidth="1"/>
    <col min="15" max="15" width="22.42578125" customWidth="1"/>
    <col min="16" max="17" width="13.85546875" customWidth="1"/>
    <col min="19" max="19" width="19.85546875" customWidth="1"/>
    <col min="28" max="28" width="14" customWidth="1"/>
    <col min="29" max="29" width="15.5703125" customWidth="1"/>
    <col min="30" max="30" width="14.28515625" customWidth="1"/>
    <col min="40" max="40" width="14.5703125" customWidth="1"/>
    <col min="43" max="43" width="15.5703125" customWidth="1"/>
    <col min="44" max="44" width="14.85546875" customWidth="1"/>
    <col min="56" max="56" width="12" bestFit="1" customWidth="1"/>
    <col min="62" max="62" width="19.42578125" customWidth="1"/>
  </cols>
  <sheetData>
    <row r="3" spans="2:62" ht="16.5" x14ac:dyDescent="0.25">
      <c r="B3" s="154" t="s">
        <v>67</v>
      </c>
      <c r="C3" s="155"/>
      <c r="E3" s="154" t="s">
        <v>65</v>
      </c>
      <c r="F3" s="155"/>
      <c r="H3" s="154" t="s">
        <v>64</v>
      </c>
      <c r="I3" s="155"/>
      <c r="K3" s="156" t="s">
        <v>4</v>
      </c>
      <c r="L3" s="188"/>
      <c r="M3" s="189"/>
      <c r="N3" s="189"/>
      <c r="O3" s="190"/>
      <c r="P3" s="130"/>
      <c r="Q3" s="42"/>
      <c r="R3" s="135" t="s">
        <v>20</v>
      </c>
      <c r="S3" s="7">
        <v>18</v>
      </c>
    </row>
    <row r="4" spans="2:62" ht="40.5" customHeight="1" x14ac:dyDescent="0.25">
      <c r="B4" s="169" t="s">
        <v>2</v>
      </c>
      <c r="C4" s="169" t="s">
        <v>3</v>
      </c>
      <c r="E4" s="168" t="s">
        <v>9</v>
      </c>
      <c r="F4" s="33" t="s">
        <v>62</v>
      </c>
      <c r="G4" s="36"/>
      <c r="H4" s="33" t="s">
        <v>9</v>
      </c>
      <c r="I4" s="33" t="s">
        <v>63</v>
      </c>
      <c r="J4" s="35"/>
      <c r="K4" s="157"/>
      <c r="L4" s="191"/>
      <c r="M4" s="192"/>
      <c r="N4" s="192"/>
      <c r="O4" s="193"/>
      <c r="P4" s="130"/>
      <c r="Q4" s="42"/>
    </row>
    <row r="5" spans="2:62" ht="19.5" x14ac:dyDescent="0.4">
      <c r="B5" s="170"/>
      <c r="C5" s="170"/>
      <c r="E5" s="168"/>
      <c r="F5" s="33">
        <v>2013</v>
      </c>
      <c r="G5" s="36"/>
      <c r="H5" s="33">
        <v>0</v>
      </c>
      <c r="I5" s="39">
        <v>9.3700000000000001E-4</v>
      </c>
      <c r="K5" s="157"/>
      <c r="L5" s="194"/>
      <c r="M5" s="195"/>
      <c r="N5" s="195"/>
      <c r="O5" s="196"/>
      <c r="P5" s="43"/>
      <c r="Q5" s="43"/>
      <c r="AC5" s="9" t="s">
        <v>184</v>
      </c>
      <c r="AD5" s="9" t="s">
        <v>185</v>
      </c>
      <c r="AQ5" s="9" t="s">
        <v>187</v>
      </c>
      <c r="AR5" s="9" t="s">
        <v>186</v>
      </c>
      <c r="AT5" s="171" t="s">
        <v>160</v>
      </c>
      <c r="AU5" s="172"/>
      <c r="AV5" s="172"/>
      <c r="AW5" s="172"/>
      <c r="AX5" s="172"/>
      <c r="AY5" s="172"/>
      <c r="AZ5" s="173"/>
      <c r="BB5" s="171" t="s">
        <v>161</v>
      </c>
      <c r="BC5" s="172"/>
      <c r="BD5" s="172"/>
      <c r="BE5" s="172"/>
      <c r="BF5" s="172"/>
      <c r="BG5" s="172"/>
      <c r="BH5" s="172"/>
      <c r="BI5" s="172"/>
      <c r="BJ5" s="173"/>
    </row>
    <row r="6" spans="2:62" ht="19.5" x14ac:dyDescent="0.4">
      <c r="B6" s="34">
        <v>0</v>
      </c>
      <c r="C6" s="41">
        <v>4.3300000000000001E-4</v>
      </c>
      <c r="E6" s="33">
        <v>0</v>
      </c>
      <c r="F6" s="37">
        <v>0</v>
      </c>
      <c r="H6" s="33">
        <v>1</v>
      </c>
      <c r="I6" s="40">
        <v>9.3800000000000003E-4</v>
      </c>
      <c r="K6" s="157"/>
      <c r="L6" s="197"/>
      <c r="M6" s="198"/>
      <c r="N6" s="198"/>
      <c r="O6" s="199"/>
      <c r="P6" s="17"/>
      <c r="Q6" s="43"/>
      <c r="R6" s="9" t="s">
        <v>165</v>
      </c>
      <c r="S6" s="18">
        <f>IF(S3=0,0,(AD6-AC6)/(VLOOKUP(S3-1,S7:U26,3,0)*(VLOOKUP(S3-1,S7:Z26,8,0)*VLOOKUP(S3-1,S7:AA26,9,0))))</f>
        <v>0</v>
      </c>
      <c r="AC6" s="134">
        <f>SUM(AC8:AC25)</f>
        <v>8597.348369627427</v>
      </c>
      <c r="AD6" s="134">
        <f>SUM(AD8:AD16)*M15</f>
        <v>8597.348369627427</v>
      </c>
      <c r="AQ6" s="134">
        <f>SUM(AQ8:AQ25)</f>
        <v>8597.348369627427</v>
      </c>
      <c r="AR6" s="134">
        <f>SUM(AR8:AR25)</f>
        <v>28.544299320306642</v>
      </c>
      <c r="AT6" s="174"/>
      <c r="AU6" s="175"/>
      <c r="AV6" s="175"/>
      <c r="AW6" s="175"/>
      <c r="AX6" s="175"/>
      <c r="AY6" s="175"/>
      <c r="AZ6" s="176"/>
      <c r="BB6" s="174"/>
      <c r="BC6" s="175"/>
      <c r="BD6" s="175"/>
      <c r="BE6" s="175"/>
      <c r="BF6" s="175"/>
      <c r="BG6" s="175"/>
      <c r="BH6" s="175"/>
      <c r="BI6" s="175"/>
      <c r="BJ6" s="176"/>
    </row>
    <row r="7" spans="2:62" ht="21" x14ac:dyDescent="0.4">
      <c r="B7" s="34">
        <v>1</v>
      </c>
      <c r="C7" s="41">
        <v>4.3300000000000001E-4</v>
      </c>
      <c r="E7" s="33">
        <v>1</v>
      </c>
      <c r="F7" s="38">
        <v>0</v>
      </c>
      <c r="H7" s="33">
        <v>2</v>
      </c>
      <c r="I7" s="39">
        <v>9.3800000000000003E-4</v>
      </c>
      <c r="K7" s="158"/>
      <c r="L7" s="200"/>
      <c r="M7" s="201"/>
      <c r="N7" s="201"/>
      <c r="O7" s="202"/>
      <c r="P7" s="43"/>
      <c r="Q7" s="43"/>
      <c r="R7" s="111" t="s">
        <v>10</v>
      </c>
      <c r="S7" s="111" t="s">
        <v>20</v>
      </c>
      <c r="T7" s="111" t="s">
        <v>25</v>
      </c>
      <c r="U7" s="111" t="s">
        <v>21</v>
      </c>
      <c r="V7" s="111" t="s">
        <v>166</v>
      </c>
      <c r="W7" s="111" t="s">
        <v>172</v>
      </c>
      <c r="X7" s="111" t="s">
        <v>173</v>
      </c>
      <c r="Y7" s="111" t="s">
        <v>179</v>
      </c>
      <c r="Z7" s="111" t="s">
        <v>180</v>
      </c>
      <c r="AA7" s="111" t="s">
        <v>157</v>
      </c>
      <c r="AB7" s="111" t="s">
        <v>122</v>
      </c>
      <c r="AC7" s="111" t="s">
        <v>26</v>
      </c>
      <c r="AD7" s="111" t="s">
        <v>26</v>
      </c>
      <c r="AF7" s="111" t="s">
        <v>10</v>
      </c>
      <c r="AG7" s="111" t="s">
        <v>20</v>
      </c>
      <c r="AH7" s="111" t="s">
        <v>25</v>
      </c>
      <c r="AI7" s="111" t="s">
        <v>21</v>
      </c>
      <c r="AJ7" s="111" t="s">
        <v>166</v>
      </c>
      <c r="AK7" s="111" t="s">
        <v>172</v>
      </c>
      <c r="AL7" s="111" t="s">
        <v>173</v>
      </c>
      <c r="AM7" s="111" t="s">
        <v>179</v>
      </c>
      <c r="AN7" s="111" t="s">
        <v>180</v>
      </c>
      <c r="AO7" s="111" t="s">
        <v>157</v>
      </c>
      <c r="AP7" s="111" t="s">
        <v>122</v>
      </c>
      <c r="AQ7" s="111" t="s">
        <v>26</v>
      </c>
      <c r="AR7" s="111" t="s">
        <v>26</v>
      </c>
      <c r="AT7" s="111" t="s">
        <v>10</v>
      </c>
      <c r="AU7" s="111" t="s">
        <v>20</v>
      </c>
      <c r="AV7" s="111" t="s">
        <v>25</v>
      </c>
      <c r="AW7" s="111" t="s">
        <v>167</v>
      </c>
      <c r="AX7" s="111" t="s">
        <v>168</v>
      </c>
      <c r="AY7" s="111" t="s">
        <v>169</v>
      </c>
      <c r="AZ7" s="111" t="s">
        <v>170</v>
      </c>
      <c r="BB7" s="111" t="s">
        <v>10</v>
      </c>
      <c r="BC7" s="111" t="s">
        <v>20</v>
      </c>
      <c r="BD7" s="111" t="s">
        <v>25</v>
      </c>
      <c r="BE7" s="111" t="s">
        <v>166</v>
      </c>
      <c r="BF7" s="111" t="s">
        <v>172</v>
      </c>
      <c r="BG7" s="111" t="s">
        <v>173</v>
      </c>
      <c r="BH7" s="111" t="s">
        <v>171</v>
      </c>
      <c r="BI7" s="111" t="s">
        <v>170</v>
      </c>
      <c r="BJ7" s="111" t="s">
        <v>69</v>
      </c>
    </row>
    <row r="8" spans="2:62" ht="15" customHeight="1" x14ac:dyDescent="0.3">
      <c r="B8" s="34">
        <v>2</v>
      </c>
      <c r="C8" s="41">
        <v>4.3399999999999998E-4</v>
      </c>
      <c r="E8" s="33">
        <v>2</v>
      </c>
      <c r="F8" s="37">
        <v>0</v>
      </c>
      <c r="H8" s="33">
        <v>3</v>
      </c>
      <c r="I8" s="40">
        <v>9.3899999999999995E-4</v>
      </c>
      <c r="K8" s="8"/>
      <c r="L8" s="8"/>
      <c r="M8" s="8"/>
      <c r="N8" s="8"/>
      <c r="O8" s="8"/>
      <c r="P8" s="8"/>
      <c r="Q8" s="8"/>
      <c r="R8">
        <f t="shared" ref="R8:R25" si="0">IF(S8="","",$M$11)</f>
        <v>32</v>
      </c>
      <c r="S8">
        <f>IF(S3&gt;0,0,"")</f>
        <v>0</v>
      </c>
      <c r="T8">
        <f>IF(S8="","",R8+S8)</f>
        <v>32</v>
      </c>
      <c r="U8" s="132">
        <f>IF(S8="","",POWER(1+$M$14,-(S8+1)))</f>
        <v>0.898876404494382</v>
      </c>
      <c r="V8" s="132">
        <f t="shared" ref="V8:V25" si="1">IF(S8="","",VLOOKUP(T8,$BD$7:$BE$25,2,0))</f>
        <v>7.2846896307741005E-4</v>
      </c>
      <c r="W8" s="132">
        <f>IF(S8="","",VLOOKUP(T8,$BD$7:$BG$25,3,0))</f>
        <v>1.2187413557741E-4</v>
      </c>
      <c r="X8" s="132">
        <f>IF(S8="","",VLOOKUP(T8,$BD$7:$BG$25,4,0))</f>
        <v>1.3344319970774101E-3</v>
      </c>
      <c r="Y8" s="132">
        <f>IF(S8="","",SUM(V8:X8))</f>
        <v>2.1847750957322302E-3</v>
      </c>
      <c r="Z8" s="132">
        <f>IF(S8="","",1-Y8)</f>
        <v>0.99781522490426777</v>
      </c>
      <c r="AA8" s="136">
        <f>IF(S8="","",1)</f>
        <v>1</v>
      </c>
      <c r="AB8" s="136">
        <f>IF(S8="","",1)</f>
        <v>1</v>
      </c>
      <c r="AC8" s="132">
        <f>IF(S8="","",AB8*$M$13*U8*AA8*V8)</f>
        <v>98.220534347515965</v>
      </c>
      <c r="AD8" s="132">
        <f>IF(S8="","",(8-S8)*AA8)</f>
        <v>8</v>
      </c>
      <c r="AE8" s="132"/>
      <c r="AF8" s="29">
        <f>$M$11</f>
        <v>32</v>
      </c>
      <c r="AG8" s="29">
        <v>0</v>
      </c>
      <c r="AH8" s="29">
        <f t="shared" ref="AH8:AH25" si="2">AF8+AG8</f>
        <v>32</v>
      </c>
      <c r="AI8" s="134">
        <f>POWER(1+$M$14,-(AG8+1))</f>
        <v>0.898876404494382</v>
      </c>
      <c r="AJ8" s="134">
        <f t="shared" ref="AJ8:AJ25" si="3">VLOOKUP(AH8,$BD$7:$BE$25,2,0)</f>
        <v>7.2846896307741005E-4</v>
      </c>
      <c r="AK8" s="132">
        <f>VLOOKUP(AH8,$BD$7:$BG$25,3,0)</f>
        <v>1.2187413557741E-4</v>
      </c>
      <c r="AL8" s="132">
        <f>VLOOKUP(AH8,$BD$7:$BG$25,4,0)</f>
        <v>1.3344319970774101E-3</v>
      </c>
      <c r="AM8" s="132">
        <f>SUM(AJ8:AL8)</f>
        <v>2.1847750957322302E-3</v>
      </c>
      <c r="AN8" s="134">
        <f>1-AM8</f>
        <v>0.99781522490426777</v>
      </c>
      <c r="AO8" s="29">
        <f>1</f>
        <v>1</v>
      </c>
      <c r="AP8" s="29">
        <v>1</v>
      </c>
      <c r="AQ8" s="134">
        <f>AP8*$M$13*AI8*AO8*AJ8</f>
        <v>98.220534347515965</v>
      </c>
      <c r="AR8" s="134">
        <f>(8-AG8)*AO8</f>
        <v>8</v>
      </c>
      <c r="AT8" s="7">
        <f>$M$11</f>
        <v>32</v>
      </c>
      <c r="AU8" s="7">
        <f>0</f>
        <v>0</v>
      </c>
      <c r="AV8" s="7">
        <f t="shared" ref="AV8:AV25" si="4">AT8+AU8</f>
        <v>32</v>
      </c>
      <c r="AW8" s="44">
        <f t="shared" ref="AW8:AW25" si="5">VLOOKUP(AV8,B:C,2,0)</f>
        <v>7.2900000000000005E-4</v>
      </c>
      <c r="AX8" s="44">
        <f t="shared" ref="AX8:AX25" si="6">VLOOKUP(AV8,E:F,2,0)</f>
        <v>1.22E-4</v>
      </c>
      <c r="AY8" s="44">
        <f t="shared" ref="AY8:AY25" si="7">VLOOKUP(AV8,H:I,2,0)</f>
        <v>1.335E-3</v>
      </c>
      <c r="AZ8" s="44">
        <f>(1-AW8)*(1-AX8)*(1-AY8)</f>
        <v>0.99781522490426777</v>
      </c>
      <c r="BB8" s="7">
        <f t="shared" ref="BB8:BB25" si="8">AT8</f>
        <v>32</v>
      </c>
      <c r="BC8" s="7">
        <f t="shared" ref="BC8:BC25" si="9">AU8</f>
        <v>0</v>
      </c>
      <c r="BD8" s="7">
        <f t="shared" ref="BD8:BD25" si="10">BB8+BC8</f>
        <v>32</v>
      </c>
      <c r="BE8" s="44">
        <f t="shared" ref="BE8:BE25" si="11">AW8*(1-(1/2)*(AX8+AY8)+(1/3)*AX8*AY8)</f>
        <v>7.2846896307741005E-4</v>
      </c>
      <c r="BF8" s="44">
        <f t="shared" ref="BF8:BF25" si="12">AX8*(1-(1/2)*(AW8+AY8)+(1/3)*AW8*AY8)</f>
        <v>1.2187413557741E-4</v>
      </c>
      <c r="BG8" s="44">
        <f t="shared" ref="BG8:BG25" si="13">AY8*(1-(1/2)*(AW8+AX8)+(1/3)*AW8*AX8)</f>
        <v>1.3344319970774101E-3</v>
      </c>
      <c r="BH8" s="44">
        <f>SUM(BE8:BG8)</f>
        <v>2.1847750957322302E-3</v>
      </c>
      <c r="BI8" s="44">
        <f>1-BH8</f>
        <v>0.99781522490426777</v>
      </c>
      <c r="BJ8" s="44">
        <f t="shared" ref="BJ8:BJ25" si="14">BI8-AZ8</f>
        <v>0</v>
      </c>
    </row>
    <row r="9" spans="2:62" ht="16.5" x14ac:dyDescent="0.3">
      <c r="B9" s="34">
        <v>3</v>
      </c>
      <c r="C9" s="41">
        <v>4.3399999999999998E-4</v>
      </c>
      <c r="E9" s="33">
        <v>3</v>
      </c>
      <c r="F9" s="38">
        <v>0</v>
      </c>
      <c r="H9" s="33">
        <v>4</v>
      </c>
      <c r="I9" s="39">
        <v>9.41E-4</v>
      </c>
      <c r="K9" s="182" t="s">
        <v>8</v>
      </c>
      <c r="L9" s="182"/>
      <c r="M9" s="8"/>
      <c r="N9" s="8"/>
      <c r="O9" s="209" t="s">
        <v>163</v>
      </c>
      <c r="P9" s="210"/>
      <c r="R9">
        <f t="shared" si="0"/>
        <v>32</v>
      </c>
      <c r="S9">
        <f>IF(S8="","",IF($S$3-1&gt;S8,S8+1,""))</f>
        <v>1</v>
      </c>
      <c r="T9">
        <f t="shared" ref="T9:T25" si="15">IF(S9="","",R9+S9)</f>
        <v>33</v>
      </c>
      <c r="U9" s="132">
        <f t="shared" ref="U9:U25" si="16">IF(S9="","",POWER(1+$M$14,-(S9+1)))</f>
        <v>0.80797879055674782</v>
      </c>
      <c r="V9" s="132">
        <f t="shared" si="1"/>
        <v>7.5642889217207197E-4</v>
      </c>
      <c r="W9" s="132">
        <f t="shared" ref="W9:W25" si="17">IF(S9="","",VLOOKUP(T9,$BD$7:$BG$25,3,0))</f>
        <v>1.4085023617207201E-4</v>
      </c>
      <c r="X9" s="132">
        <f t="shared" ref="X9:X25" si="18">IF(S9="","",VLOOKUP(T9,$BD$7:$BG$25,4,0))</f>
        <v>1.367385816672072E-3</v>
      </c>
      <c r="Y9" s="132">
        <f t="shared" ref="Y9:Y25" si="19">IF(S9="","",SUM(V9:X9))</f>
        <v>2.2646649450162159E-3</v>
      </c>
      <c r="Z9" s="132">
        <f t="shared" ref="Z9:Z25" si="20">IF(S9="","",1-Y9)</f>
        <v>0.9977353350549838</v>
      </c>
      <c r="AA9" s="132">
        <f>IF(S9="","",AA8*Z8)</f>
        <v>0.99781522490426777</v>
      </c>
      <c r="AB9" s="136">
        <f t="shared" ref="AB9:AB25" si="21">IF(S9="","",AB8+1)</f>
        <v>2</v>
      </c>
      <c r="AC9" s="132">
        <f>IF(S9="","",AB9*$M$13*U9*AA9*V9)</f>
        <v>182.9529641611139</v>
      </c>
      <c r="AD9" s="132">
        <f>IF(S9="","",(8-S9)*AA9*U8)</f>
        <v>6.2783879319819098</v>
      </c>
      <c r="AE9" s="132"/>
      <c r="AF9" s="29">
        <f t="shared" ref="AF9:AF25" si="22">$M$11</f>
        <v>32</v>
      </c>
      <c r="AG9" s="29">
        <f>AG8+1</f>
        <v>1</v>
      </c>
      <c r="AH9" s="29">
        <f t="shared" si="2"/>
        <v>33</v>
      </c>
      <c r="AI9" s="134">
        <f t="shared" ref="AI9:AI25" si="23">POWER(1+$M$14,-(AG9+1))</f>
        <v>0.80797879055674782</v>
      </c>
      <c r="AJ9" s="134">
        <f t="shared" si="3"/>
        <v>7.5642889217207197E-4</v>
      </c>
      <c r="AK9" s="132">
        <f t="shared" ref="AK9:AK25" si="24">VLOOKUP(AH9,$BD$7:$BG$25,3,0)</f>
        <v>1.4085023617207201E-4</v>
      </c>
      <c r="AL9" s="132">
        <f t="shared" ref="AL9:AL25" si="25">VLOOKUP(AH9,$BD$7:$BG$25,4,0)</f>
        <v>1.367385816672072E-3</v>
      </c>
      <c r="AM9" s="132">
        <f t="shared" ref="AM9:AM25" si="26">SUM(AJ9:AL9)</f>
        <v>2.2646649450162159E-3</v>
      </c>
      <c r="AN9" s="134">
        <f t="shared" ref="AN9:AN25" si="27">1-AM9</f>
        <v>0.9977353350549838</v>
      </c>
      <c r="AO9" s="134">
        <f>AO8*AN8</f>
        <v>0.99781522490426777</v>
      </c>
      <c r="AP9" s="29">
        <f>AP8+1</f>
        <v>2</v>
      </c>
      <c r="AQ9" s="134">
        <f t="shared" ref="AQ9:AQ25" si="28">AP9*$M$13*AI9*AO9*AJ9</f>
        <v>182.9529641611139</v>
      </c>
      <c r="AR9" s="134">
        <f>(8-AG9)*AO9*AI8</f>
        <v>6.2783879319819098</v>
      </c>
      <c r="AT9" s="7">
        <f t="shared" ref="AT9:AT25" si="29">$M$11</f>
        <v>32</v>
      </c>
      <c r="AU9" s="7">
        <f t="shared" ref="AU9:AU25" si="30">AU8+1</f>
        <v>1</v>
      </c>
      <c r="AV9" s="7">
        <f t="shared" si="4"/>
        <v>33</v>
      </c>
      <c r="AW9" s="44">
        <f t="shared" si="5"/>
        <v>7.5699999999999997E-4</v>
      </c>
      <c r="AX9" s="44">
        <f t="shared" si="6"/>
        <v>1.4100000000000001E-4</v>
      </c>
      <c r="AY9" s="44">
        <f t="shared" si="7"/>
        <v>1.3680000000000001E-3</v>
      </c>
      <c r="AZ9" s="44">
        <f t="shared" ref="AZ9:AZ25" si="31">(1-AW9)*(1-AX9)*(1-AY9)</f>
        <v>0.9977353350549838</v>
      </c>
      <c r="BB9" s="7">
        <f t="shared" si="8"/>
        <v>32</v>
      </c>
      <c r="BC9" s="7">
        <f t="shared" si="9"/>
        <v>1</v>
      </c>
      <c r="BD9" s="7">
        <f t="shared" si="10"/>
        <v>33</v>
      </c>
      <c r="BE9" s="44">
        <f t="shared" si="11"/>
        <v>7.5642889217207197E-4</v>
      </c>
      <c r="BF9" s="44">
        <f t="shared" si="12"/>
        <v>1.4085023617207201E-4</v>
      </c>
      <c r="BG9" s="44">
        <f t="shared" si="13"/>
        <v>1.367385816672072E-3</v>
      </c>
      <c r="BH9" s="44">
        <f t="shared" ref="BH9:BH25" si="32">SUM(BE9:BG9)</f>
        <v>2.2646649450162159E-3</v>
      </c>
      <c r="BI9" s="44">
        <f t="shared" ref="BI9:BI25" si="33">1-BH9</f>
        <v>0.9977353350549838</v>
      </c>
      <c r="BJ9" s="44">
        <f t="shared" si="14"/>
        <v>0</v>
      </c>
    </row>
    <row r="10" spans="2:62" ht="20.25" x14ac:dyDescent="0.4">
      <c r="B10" s="34">
        <v>4</v>
      </c>
      <c r="C10" s="41">
        <v>4.35E-4</v>
      </c>
      <c r="E10" s="33">
        <v>4</v>
      </c>
      <c r="F10" s="37">
        <v>0</v>
      </c>
      <c r="H10" s="33">
        <v>5</v>
      </c>
      <c r="I10" s="40">
        <v>9.4300000000000004E-4</v>
      </c>
      <c r="K10" s="8"/>
      <c r="L10" s="8"/>
      <c r="M10" s="8"/>
      <c r="N10" s="8"/>
      <c r="O10" s="111" t="s">
        <v>20</v>
      </c>
      <c r="P10" s="111" t="s">
        <v>164</v>
      </c>
      <c r="Q10" s="8"/>
      <c r="R10">
        <f t="shared" si="0"/>
        <v>32</v>
      </c>
      <c r="S10">
        <f t="shared" ref="S10:S25" si="34">IF(S9="","",IF($S$3-1&gt;S9,S9+1,""))</f>
        <v>2</v>
      </c>
      <c r="T10">
        <f t="shared" si="15"/>
        <v>34</v>
      </c>
      <c r="U10" s="132">
        <f t="shared" si="16"/>
        <v>0.72627307016336884</v>
      </c>
      <c r="V10" s="132">
        <f t="shared" si="1"/>
        <v>7.8738344970045592E-4</v>
      </c>
      <c r="W10" s="132">
        <f t="shared" si="17"/>
        <v>1.61822588700456E-4</v>
      </c>
      <c r="X10" s="132">
        <f t="shared" si="18"/>
        <v>1.402333634700456E-3</v>
      </c>
      <c r="Y10" s="132">
        <f t="shared" si="19"/>
        <v>2.3515396731013678E-3</v>
      </c>
      <c r="Z10" s="132">
        <f t="shared" si="20"/>
        <v>0.99764846032689858</v>
      </c>
      <c r="AA10" s="132">
        <f>IF(S10="","",AA9*Z9)</f>
        <v>0.99555550774282364</v>
      </c>
      <c r="AB10" s="136">
        <f t="shared" si="21"/>
        <v>3</v>
      </c>
      <c r="AC10" s="132">
        <f t="shared" ref="AC10:AC25" si="35">IF(S10="","",AB10*$M$13*U10*AA10*V10)</f>
        <v>256.19120483969311</v>
      </c>
      <c r="AD10" s="132">
        <f t="shared" ref="AD10:AD16" si="36">IF(S10="","",(8-S10)*AA10*U9)</f>
        <v>4.8263264104689334</v>
      </c>
      <c r="AE10" s="132"/>
      <c r="AF10" s="29">
        <f t="shared" si="22"/>
        <v>32</v>
      </c>
      <c r="AG10" s="29">
        <f t="shared" ref="AG10:AG25" si="37">AG9+1</f>
        <v>2</v>
      </c>
      <c r="AH10" s="29">
        <f t="shared" si="2"/>
        <v>34</v>
      </c>
      <c r="AI10" s="134">
        <f t="shared" si="23"/>
        <v>0.72627307016336884</v>
      </c>
      <c r="AJ10" s="134">
        <f t="shared" si="3"/>
        <v>7.8738344970045592E-4</v>
      </c>
      <c r="AK10" s="132">
        <f t="shared" si="24"/>
        <v>1.61822588700456E-4</v>
      </c>
      <c r="AL10" s="132">
        <f t="shared" si="25"/>
        <v>1.402333634700456E-3</v>
      </c>
      <c r="AM10" s="132">
        <f t="shared" si="26"/>
        <v>2.3515396731013678E-3</v>
      </c>
      <c r="AN10" s="134">
        <f t="shared" si="27"/>
        <v>0.99764846032689858</v>
      </c>
      <c r="AO10" s="134">
        <f t="shared" ref="AO10:AO25" si="38">AO9*AN9</f>
        <v>0.99555550774282364</v>
      </c>
      <c r="AP10" s="29">
        <f t="shared" ref="AP10:AP25" si="39">AP9+1</f>
        <v>3</v>
      </c>
      <c r="AQ10" s="134">
        <f t="shared" si="28"/>
        <v>256.19120483969311</v>
      </c>
      <c r="AR10" s="134">
        <f t="shared" ref="AR10:AR15" si="40">(8-AG10)*AO10*AI9</f>
        <v>4.8263264104689334</v>
      </c>
      <c r="AT10" s="7">
        <f t="shared" si="29"/>
        <v>32</v>
      </c>
      <c r="AU10" s="7">
        <f t="shared" si="30"/>
        <v>2</v>
      </c>
      <c r="AV10" s="7">
        <f t="shared" si="4"/>
        <v>34</v>
      </c>
      <c r="AW10" s="44">
        <f t="shared" si="5"/>
        <v>7.8799999999999996E-4</v>
      </c>
      <c r="AX10" s="44">
        <f t="shared" si="6"/>
        <v>1.6200000000000001E-4</v>
      </c>
      <c r="AY10" s="44">
        <f t="shared" si="7"/>
        <v>1.403E-3</v>
      </c>
      <c r="AZ10" s="44">
        <f t="shared" si="31"/>
        <v>0.99764846032689858</v>
      </c>
      <c r="BB10" s="7">
        <f t="shared" si="8"/>
        <v>32</v>
      </c>
      <c r="BC10" s="7">
        <f t="shared" si="9"/>
        <v>2</v>
      </c>
      <c r="BD10" s="7">
        <f t="shared" si="10"/>
        <v>34</v>
      </c>
      <c r="BE10" s="44">
        <f t="shared" si="11"/>
        <v>7.8738344970045592E-4</v>
      </c>
      <c r="BF10" s="44">
        <f t="shared" si="12"/>
        <v>1.61822588700456E-4</v>
      </c>
      <c r="BG10" s="44">
        <f t="shared" si="13"/>
        <v>1.402333634700456E-3</v>
      </c>
      <c r="BH10" s="44">
        <f t="shared" si="32"/>
        <v>2.3515396731013678E-3</v>
      </c>
      <c r="BI10" s="44">
        <f t="shared" si="33"/>
        <v>0.99764846032689858</v>
      </c>
      <c r="BJ10" s="44">
        <f t="shared" si="14"/>
        <v>0</v>
      </c>
    </row>
    <row r="11" spans="2:62" ht="16.5" x14ac:dyDescent="0.3">
      <c r="B11" s="34">
        <v>5</v>
      </c>
      <c r="C11" s="41">
        <v>4.3600000000000003E-4</v>
      </c>
      <c r="E11" s="33">
        <v>5</v>
      </c>
      <c r="F11" s="38">
        <v>0</v>
      </c>
      <c r="H11" s="33">
        <v>6</v>
      </c>
      <c r="I11" s="39">
        <v>9.4600000000000001E-4</v>
      </c>
      <c r="K11" s="9" t="s">
        <v>9</v>
      </c>
      <c r="L11" s="10" t="s">
        <v>10</v>
      </c>
      <c r="M11" s="11">
        <f>'Cálculo de prima'!M11</f>
        <v>32</v>
      </c>
      <c r="N11" s="8"/>
      <c r="O11" s="7">
        <v>0</v>
      </c>
      <c r="P11" s="18">
        <v>0</v>
      </c>
      <c r="R11">
        <f t="shared" si="0"/>
        <v>32</v>
      </c>
      <c r="S11">
        <f t="shared" si="34"/>
        <v>3</v>
      </c>
      <c r="T11">
        <f t="shared" si="15"/>
        <v>35</v>
      </c>
      <c r="U11" s="132">
        <f t="shared" si="16"/>
        <v>0.65282972598954492</v>
      </c>
      <c r="V11" s="132">
        <f t="shared" si="1"/>
        <v>8.2033301040479998E-4</v>
      </c>
      <c r="W11" s="132">
        <f t="shared" si="17"/>
        <v>1.8479093040479999E-4</v>
      </c>
      <c r="X11" s="132">
        <f t="shared" si="18"/>
        <v>1.4392757529048E-3</v>
      </c>
      <c r="Y11" s="132">
        <f t="shared" si="19"/>
        <v>2.4443996937144E-3</v>
      </c>
      <c r="Z11" s="132">
        <f t="shared" si="20"/>
        <v>0.99755560030628565</v>
      </c>
      <c r="AA11" s="132">
        <f t="shared" ref="AA11:AA25" si="41">IF(S11="","",AA10*Z10)</f>
        <v>0.99321441946959177</v>
      </c>
      <c r="AB11" s="136">
        <f t="shared" si="21"/>
        <v>4</v>
      </c>
      <c r="AC11" s="132">
        <f t="shared" si="35"/>
        <v>319.14230382447516</v>
      </c>
      <c r="AD11" s="132">
        <f t="shared" si="36"/>
        <v>3.6067244287935423</v>
      </c>
      <c r="AE11" s="132"/>
      <c r="AF11" s="29">
        <f t="shared" si="22"/>
        <v>32</v>
      </c>
      <c r="AG11" s="29">
        <f t="shared" si="37"/>
        <v>3</v>
      </c>
      <c r="AH11" s="29">
        <f t="shared" si="2"/>
        <v>35</v>
      </c>
      <c r="AI11" s="134">
        <f t="shared" si="23"/>
        <v>0.65282972598954492</v>
      </c>
      <c r="AJ11" s="134">
        <f t="shared" si="3"/>
        <v>8.2033301040479998E-4</v>
      </c>
      <c r="AK11" s="132">
        <f t="shared" si="24"/>
        <v>1.8479093040479999E-4</v>
      </c>
      <c r="AL11" s="132">
        <f t="shared" si="25"/>
        <v>1.4392757529048E-3</v>
      </c>
      <c r="AM11" s="132">
        <f t="shared" si="26"/>
        <v>2.4443996937144E-3</v>
      </c>
      <c r="AN11" s="134">
        <f t="shared" si="27"/>
        <v>0.99755560030628565</v>
      </c>
      <c r="AO11" s="134">
        <f t="shared" si="38"/>
        <v>0.99321441946959177</v>
      </c>
      <c r="AP11" s="29">
        <f t="shared" si="39"/>
        <v>4</v>
      </c>
      <c r="AQ11" s="134">
        <f t="shared" si="28"/>
        <v>319.14230382447516</v>
      </c>
      <c r="AR11" s="134">
        <f t="shared" si="40"/>
        <v>3.6067244287935423</v>
      </c>
      <c r="AT11" s="7">
        <f t="shared" si="29"/>
        <v>32</v>
      </c>
      <c r="AU11" s="7">
        <f t="shared" si="30"/>
        <v>3</v>
      </c>
      <c r="AV11" s="7">
        <f t="shared" si="4"/>
        <v>35</v>
      </c>
      <c r="AW11" s="44">
        <f t="shared" si="5"/>
        <v>8.2100000000000001E-4</v>
      </c>
      <c r="AX11" s="44">
        <f t="shared" si="6"/>
        <v>1.85E-4</v>
      </c>
      <c r="AY11" s="44">
        <f t="shared" si="7"/>
        <v>1.4400000000000001E-3</v>
      </c>
      <c r="AZ11" s="44">
        <f t="shared" si="31"/>
        <v>0.99755560030628565</v>
      </c>
      <c r="BB11" s="7">
        <f t="shared" si="8"/>
        <v>32</v>
      </c>
      <c r="BC11" s="7">
        <f t="shared" si="9"/>
        <v>3</v>
      </c>
      <c r="BD11" s="7">
        <f t="shared" si="10"/>
        <v>35</v>
      </c>
      <c r="BE11" s="44">
        <f t="shared" si="11"/>
        <v>8.2033301040479998E-4</v>
      </c>
      <c r="BF11" s="44">
        <f t="shared" si="12"/>
        <v>1.8479093040479999E-4</v>
      </c>
      <c r="BG11" s="44">
        <f t="shared" si="13"/>
        <v>1.4392757529048E-3</v>
      </c>
      <c r="BH11" s="44">
        <f t="shared" si="32"/>
        <v>2.4443996937144E-3</v>
      </c>
      <c r="BI11" s="44">
        <f t="shared" si="33"/>
        <v>0.99755560030628565</v>
      </c>
      <c r="BJ11" s="44">
        <f t="shared" si="14"/>
        <v>0</v>
      </c>
    </row>
    <row r="12" spans="2:62" ht="16.5" x14ac:dyDescent="0.3">
      <c r="B12" s="34">
        <v>6</v>
      </c>
      <c r="C12" s="41">
        <v>4.3800000000000002E-4</v>
      </c>
      <c r="E12" s="33">
        <v>6</v>
      </c>
      <c r="F12" s="37">
        <v>0</v>
      </c>
      <c r="H12" s="33">
        <v>7</v>
      </c>
      <c r="I12" s="40">
        <v>9.5E-4</v>
      </c>
      <c r="K12" s="9" t="s">
        <v>11</v>
      </c>
      <c r="L12" s="10" t="s">
        <v>12</v>
      </c>
      <c r="M12" s="11">
        <v>18</v>
      </c>
      <c r="N12" s="8"/>
      <c r="O12" s="7">
        <v>1</v>
      </c>
      <c r="P12" s="18">
        <v>2576.9791042693814</v>
      </c>
      <c r="R12">
        <f t="shared" si="0"/>
        <v>32</v>
      </c>
      <c r="S12">
        <f t="shared" si="34"/>
        <v>4</v>
      </c>
      <c r="T12">
        <f t="shared" si="15"/>
        <v>36</v>
      </c>
      <c r="U12" s="132">
        <f t="shared" si="16"/>
        <v>0.58681323684453479</v>
      </c>
      <c r="V12" s="132">
        <f t="shared" si="1"/>
        <v>8.5627549570798658E-4</v>
      </c>
      <c r="W12" s="132">
        <f t="shared" si="17"/>
        <v>2.1075353570798667E-4</v>
      </c>
      <c r="X12" s="132">
        <f t="shared" si="18"/>
        <v>1.4792097692079866E-3</v>
      </c>
      <c r="Y12" s="132">
        <f t="shared" si="19"/>
        <v>2.5462388006239596E-3</v>
      </c>
      <c r="Z12" s="132">
        <f t="shared" si="20"/>
        <v>0.99745376119937601</v>
      </c>
      <c r="AA12" s="132">
        <f t="shared" si="41"/>
        <v>0.99078660644684757</v>
      </c>
      <c r="AB12" s="136">
        <f t="shared" si="21"/>
        <v>5</v>
      </c>
      <c r="AC12" s="132">
        <f t="shared" si="35"/>
        <v>373.38322983084043</v>
      </c>
      <c r="AD12" s="132">
        <f t="shared" si="36"/>
        <v>2.5872597952032264</v>
      </c>
      <c r="AE12" s="132"/>
      <c r="AF12" s="29">
        <f t="shared" si="22"/>
        <v>32</v>
      </c>
      <c r="AG12" s="29">
        <f t="shared" si="37"/>
        <v>4</v>
      </c>
      <c r="AH12" s="29">
        <f t="shared" si="2"/>
        <v>36</v>
      </c>
      <c r="AI12" s="134">
        <f t="shared" si="23"/>
        <v>0.58681323684453479</v>
      </c>
      <c r="AJ12" s="134">
        <f t="shared" si="3"/>
        <v>8.5627549570798658E-4</v>
      </c>
      <c r="AK12" s="132">
        <f t="shared" si="24"/>
        <v>2.1075353570798667E-4</v>
      </c>
      <c r="AL12" s="132">
        <f t="shared" si="25"/>
        <v>1.4792097692079866E-3</v>
      </c>
      <c r="AM12" s="132">
        <f t="shared" si="26"/>
        <v>2.5462388006239596E-3</v>
      </c>
      <c r="AN12" s="134">
        <f t="shared" si="27"/>
        <v>0.99745376119937601</v>
      </c>
      <c r="AO12" s="134">
        <f t="shared" si="38"/>
        <v>0.99078660644684757</v>
      </c>
      <c r="AP12" s="29">
        <f t="shared" si="39"/>
        <v>5</v>
      </c>
      <c r="AQ12" s="134">
        <f t="shared" si="28"/>
        <v>373.38322983084043</v>
      </c>
      <c r="AR12" s="134">
        <f t="shared" si="40"/>
        <v>2.5872597952032264</v>
      </c>
      <c r="AT12" s="7">
        <f t="shared" si="29"/>
        <v>32</v>
      </c>
      <c r="AU12" s="7">
        <f t="shared" si="30"/>
        <v>4</v>
      </c>
      <c r="AV12" s="7">
        <f t="shared" si="4"/>
        <v>36</v>
      </c>
      <c r="AW12" s="44">
        <f t="shared" si="5"/>
        <v>8.5700000000000001E-4</v>
      </c>
      <c r="AX12" s="44">
        <f t="shared" si="6"/>
        <v>2.1100000000000001E-4</v>
      </c>
      <c r="AY12" s="44">
        <f t="shared" si="7"/>
        <v>1.48E-3</v>
      </c>
      <c r="AZ12" s="44">
        <f t="shared" si="31"/>
        <v>0.99745376119937612</v>
      </c>
      <c r="BB12" s="7">
        <f t="shared" si="8"/>
        <v>32</v>
      </c>
      <c r="BC12" s="7">
        <f t="shared" si="9"/>
        <v>4</v>
      </c>
      <c r="BD12" s="7">
        <f t="shared" si="10"/>
        <v>36</v>
      </c>
      <c r="BE12" s="44">
        <f t="shared" si="11"/>
        <v>8.5627549570798658E-4</v>
      </c>
      <c r="BF12" s="44">
        <f t="shared" si="12"/>
        <v>2.1075353570798667E-4</v>
      </c>
      <c r="BG12" s="44">
        <f t="shared" si="13"/>
        <v>1.4792097692079866E-3</v>
      </c>
      <c r="BH12" s="44">
        <f t="shared" si="32"/>
        <v>2.5462388006239596E-3</v>
      </c>
      <c r="BI12" s="44">
        <f t="shared" si="33"/>
        <v>0.99745376119937601</v>
      </c>
      <c r="BJ12" s="44">
        <f t="shared" si="14"/>
        <v>0</v>
      </c>
    </row>
    <row r="13" spans="2:62" ht="16.5" x14ac:dyDescent="0.3">
      <c r="B13" s="34">
        <v>7</v>
      </c>
      <c r="C13" s="41">
        <v>4.4000000000000002E-4</v>
      </c>
      <c r="E13" s="33">
        <v>7</v>
      </c>
      <c r="F13" s="38">
        <v>0</v>
      </c>
      <c r="H13" s="33">
        <v>8</v>
      </c>
      <c r="I13" s="39">
        <v>9.5399999999999999E-4</v>
      </c>
      <c r="K13" s="9" t="s">
        <v>13</v>
      </c>
      <c r="L13" s="10" t="s">
        <v>14</v>
      </c>
      <c r="M13" s="12">
        <v>150000</v>
      </c>
      <c r="N13" s="8"/>
      <c r="O13" s="7">
        <v>2</v>
      </c>
      <c r="P13" s="18">
        <v>4996.8186186518733</v>
      </c>
      <c r="R13">
        <f t="shared" si="0"/>
        <v>32</v>
      </c>
      <c r="S13">
        <f t="shared" si="34"/>
        <v>5</v>
      </c>
      <c r="T13">
        <f t="shared" si="15"/>
        <v>37</v>
      </c>
      <c r="U13" s="132">
        <f t="shared" si="16"/>
        <v>0.52747257244452561</v>
      </c>
      <c r="V13" s="132">
        <f t="shared" si="1"/>
        <v>8.9521073309695989E-4</v>
      </c>
      <c r="W13" s="132">
        <f t="shared" si="17"/>
        <v>2.3970994909695999E-4</v>
      </c>
      <c r="X13" s="132">
        <f t="shared" si="18"/>
        <v>1.52113561309696E-3</v>
      </c>
      <c r="Y13" s="132">
        <f t="shared" si="19"/>
        <v>2.6560562952908798E-3</v>
      </c>
      <c r="Z13" s="132">
        <f t="shared" si="20"/>
        <v>0.99734394370470913</v>
      </c>
      <c r="AA13" s="132">
        <f t="shared" si="41"/>
        <v>0.98826382714637406</v>
      </c>
      <c r="AB13" s="136">
        <f t="shared" si="21"/>
        <v>6</v>
      </c>
      <c r="AC13" s="132">
        <f t="shared" si="35"/>
        <v>419.99156811959239</v>
      </c>
      <c r="AD13" s="132">
        <f t="shared" si="36"/>
        <v>1.7397788857923948</v>
      </c>
      <c r="AE13" s="132"/>
      <c r="AF13" s="29">
        <f t="shared" si="22"/>
        <v>32</v>
      </c>
      <c r="AG13" s="29">
        <f t="shared" si="37"/>
        <v>5</v>
      </c>
      <c r="AH13" s="29">
        <f t="shared" si="2"/>
        <v>37</v>
      </c>
      <c r="AI13" s="134">
        <f t="shared" si="23"/>
        <v>0.52747257244452561</v>
      </c>
      <c r="AJ13" s="134">
        <f t="shared" si="3"/>
        <v>8.9521073309695989E-4</v>
      </c>
      <c r="AK13" s="132">
        <f t="shared" si="24"/>
        <v>2.3970994909695999E-4</v>
      </c>
      <c r="AL13" s="132">
        <f t="shared" si="25"/>
        <v>1.52113561309696E-3</v>
      </c>
      <c r="AM13" s="132">
        <f t="shared" si="26"/>
        <v>2.6560562952908798E-3</v>
      </c>
      <c r="AN13" s="134">
        <f t="shared" si="27"/>
        <v>0.99734394370470913</v>
      </c>
      <c r="AO13" s="134">
        <f t="shared" si="38"/>
        <v>0.98826382714637406</v>
      </c>
      <c r="AP13" s="29">
        <f t="shared" si="39"/>
        <v>6</v>
      </c>
      <c r="AQ13" s="134">
        <f t="shared" si="28"/>
        <v>419.99156811959239</v>
      </c>
      <c r="AR13" s="134">
        <f t="shared" si="40"/>
        <v>1.7397788857923948</v>
      </c>
      <c r="AT13" s="7">
        <f t="shared" si="29"/>
        <v>32</v>
      </c>
      <c r="AU13" s="7">
        <f t="shared" si="30"/>
        <v>5</v>
      </c>
      <c r="AV13" s="7">
        <f t="shared" si="4"/>
        <v>37</v>
      </c>
      <c r="AW13" s="44">
        <f t="shared" si="5"/>
        <v>8.9599999999999999E-4</v>
      </c>
      <c r="AX13" s="44">
        <f t="shared" si="6"/>
        <v>2.4000000000000001E-4</v>
      </c>
      <c r="AY13" s="44">
        <f t="shared" si="7"/>
        <v>1.5219999999999999E-3</v>
      </c>
      <c r="AZ13" s="44">
        <f t="shared" si="31"/>
        <v>0.99734394370470913</v>
      </c>
      <c r="BB13" s="7">
        <f t="shared" si="8"/>
        <v>32</v>
      </c>
      <c r="BC13" s="7">
        <f t="shared" si="9"/>
        <v>5</v>
      </c>
      <c r="BD13" s="7">
        <f t="shared" si="10"/>
        <v>37</v>
      </c>
      <c r="BE13" s="44">
        <f t="shared" si="11"/>
        <v>8.9521073309695989E-4</v>
      </c>
      <c r="BF13" s="44">
        <f t="shared" si="12"/>
        <v>2.3970994909695999E-4</v>
      </c>
      <c r="BG13" s="44">
        <f t="shared" si="13"/>
        <v>1.52113561309696E-3</v>
      </c>
      <c r="BH13" s="44">
        <f t="shared" si="32"/>
        <v>2.6560562952908798E-3</v>
      </c>
      <c r="BI13" s="44">
        <f t="shared" si="33"/>
        <v>0.99734394370470913</v>
      </c>
      <c r="BJ13" s="44">
        <f t="shared" si="14"/>
        <v>0</v>
      </c>
    </row>
    <row r="14" spans="2:62" ht="16.5" x14ac:dyDescent="0.3">
      <c r="B14" s="34">
        <v>8</v>
      </c>
      <c r="C14" s="41">
        <v>4.4299999999999998E-4</v>
      </c>
      <c r="E14" s="33">
        <v>8</v>
      </c>
      <c r="F14" s="37">
        <v>0</v>
      </c>
      <c r="H14" s="33">
        <v>9</v>
      </c>
      <c r="I14" s="40">
        <v>9.59E-4</v>
      </c>
      <c r="K14" s="9" t="s">
        <v>121</v>
      </c>
      <c r="L14" s="131" t="s">
        <v>93</v>
      </c>
      <c r="M14" s="27">
        <v>0.1125</v>
      </c>
      <c r="O14" s="7">
        <v>3</v>
      </c>
      <c r="P14" s="18">
        <v>7232.1092494265567</v>
      </c>
      <c r="R14">
        <f t="shared" si="0"/>
        <v>32</v>
      </c>
      <c r="S14">
        <f t="shared" si="34"/>
        <v>6</v>
      </c>
      <c r="T14">
        <f t="shared" si="15"/>
        <v>38</v>
      </c>
      <c r="U14" s="132">
        <f t="shared" si="16"/>
        <v>0.4741326493883376</v>
      </c>
      <c r="V14" s="132">
        <f t="shared" si="1"/>
        <v>9.3713764226603744E-4</v>
      </c>
      <c r="W14" s="132">
        <f t="shared" si="17"/>
        <v>2.7165945326603733E-4</v>
      </c>
      <c r="X14" s="132">
        <f t="shared" si="18"/>
        <v>1.5660520982660375E-3</v>
      </c>
      <c r="Y14" s="132">
        <f t="shared" si="19"/>
        <v>2.7748491937981123E-3</v>
      </c>
      <c r="Z14" s="132">
        <f t="shared" si="20"/>
        <v>0.99722515080620189</v>
      </c>
      <c r="AA14" s="132">
        <f t="shared" si="41"/>
        <v>0.9856389427868737</v>
      </c>
      <c r="AB14" s="136">
        <f t="shared" si="21"/>
        <v>7</v>
      </c>
      <c r="AC14" s="132">
        <f t="shared" si="35"/>
        <v>459.84386674454134</v>
      </c>
      <c r="AD14" s="132">
        <f t="shared" si="36"/>
        <v>1.0397950173065897</v>
      </c>
      <c r="AE14" s="132"/>
      <c r="AF14" s="29">
        <f t="shared" si="22"/>
        <v>32</v>
      </c>
      <c r="AG14" s="29">
        <f t="shared" si="37"/>
        <v>6</v>
      </c>
      <c r="AH14" s="29">
        <f t="shared" si="2"/>
        <v>38</v>
      </c>
      <c r="AI14" s="134">
        <f t="shared" si="23"/>
        <v>0.4741326493883376</v>
      </c>
      <c r="AJ14" s="134">
        <f t="shared" si="3"/>
        <v>9.3713764226603744E-4</v>
      </c>
      <c r="AK14" s="132">
        <f t="shared" si="24"/>
        <v>2.7165945326603733E-4</v>
      </c>
      <c r="AL14" s="132">
        <f t="shared" si="25"/>
        <v>1.5660520982660375E-3</v>
      </c>
      <c r="AM14" s="132">
        <f t="shared" si="26"/>
        <v>2.7748491937981123E-3</v>
      </c>
      <c r="AN14" s="134">
        <f t="shared" si="27"/>
        <v>0.99722515080620189</v>
      </c>
      <c r="AO14" s="134">
        <f t="shared" si="38"/>
        <v>0.9856389427868737</v>
      </c>
      <c r="AP14" s="29">
        <f t="shared" si="39"/>
        <v>7</v>
      </c>
      <c r="AQ14" s="134">
        <f t="shared" si="28"/>
        <v>459.84386674454134</v>
      </c>
      <c r="AR14" s="134">
        <f t="shared" si="40"/>
        <v>1.0397950173065897</v>
      </c>
      <c r="AT14" s="7">
        <f t="shared" si="29"/>
        <v>32</v>
      </c>
      <c r="AU14" s="7">
        <f t="shared" si="30"/>
        <v>6</v>
      </c>
      <c r="AV14" s="7">
        <f t="shared" si="4"/>
        <v>38</v>
      </c>
      <c r="AW14" s="44">
        <f t="shared" si="5"/>
        <v>9.3800000000000003E-4</v>
      </c>
      <c r="AX14" s="44">
        <f t="shared" si="6"/>
        <v>2.72E-4</v>
      </c>
      <c r="AY14" s="44">
        <f t="shared" si="7"/>
        <v>1.567E-3</v>
      </c>
      <c r="AZ14" s="44">
        <f t="shared" si="31"/>
        <v>0.99722515080620189</v>
      </c>
      <c r="BB14" s="7">
        <f t="shared" si="8"/>
        <v>32</v>
      </c>
      <c r="BC14" s="7">
        <f t="shared" si="9"/>
        <v>6</v>
      </c>
      <c r="BD14" s="7">
        <f t="shared" si="10"/>
        <v>38</v>
      </c>
      <c r="BE14" s="44">
        <f t="shared" si="11"/>
        <v>9.3713764226603744E-4</v>
      </c>
      <c r="BF14" s="44">
        <f t="shared" si="12"/>
        <v>2.7165945326603733E-4</v>
      </c>
      <c r="BG14" s="44">
        <f t="shared" si="13"/>
        <v>1.5660520982660375E-3</v>
      </c>
      <c r="BH14" s="44">
        <f t="shared" si="32"/>
        <v>2.7748491937981123E-3</v>
      </c>
      <c r="BI14" s="44">
        <f t="shared" si="33"/>
        <v>0.99722515080620189</v>
      </c>
      <c r="BJ14" s="44">
        <f t="shared" si="14"/>
        <v>0</v>
      </c>
    </row>
    <row r="15" spans="2:62" ht="19.5" x14ac:dyDescent="0.4">
      <c r="B15" s="34">
        <v>9</v>
      </c>
      <c r="C15" s="41">
        <v>4.46E-4</v>
      </c>
      <c r="E15" s="33">
        <v>9</v>
      </c>
      <c r="F15" s="38">
        <v>0</v>
      </c>
      <c r="H15" s="33">
        <v>10</v>
      </c>
      <c r="I15" s="39">
        <v>9.6400000000000001E-4</v>
      </c>
      <c r="K15" s="9" t="s">
        <v>123</v>
      </c>
      <c r="L15" s="131" t="s">
        <v>188</v>
      </c>
      <c r="M15" s="12">
        <f>AQ6/AR6</f>
        <v>301.19318302941156</v>
      </c>
      <c r="O15" s="7">
        <v>4</v>
      </c>
      <c r="P15" s="18">
        <v>9251.5232349070666</v>
      </c>
      <c r="R15">
        <f t="shared" si="0"/>
        <v>32</v>
      </c>
      <c r="S15">
        <f t="shared" si="34"/>
        <v>7</v>
      </c>
      <c r="T15">
        <f t="shared" si="15"/>
        <v>39</v>
      </c>
      <c r="U15" s="132">
        <f t="shared" si="16"/>
        <v>0.42618665113558429</v>
      </c>
      <c r="V15" s="132">
        <f t="shared" si="1"/>
        <v>9.8205648182932408E-4</v>
      </c>
      <c r="W15" s="132">
        <f t="shared" si="17"/>
        <v>3.0560282082932403E-4</v>
      </c>
      <c r="X15" s="132">
        <f t="shared" si="18"/>
        <v>1.6129599388293239E-3</v>
      </c>
      <c r="Y15" s="132">
        <f t="shared" si="19"/>
        <v>2.9006192414879721E-3</v>
      </c>
      <c r="Z15" s="132">
        <f t="shared" si="20"/>
        <v>0.99709938075851201</v>
      </c>
      <c r="AA15" s="132">
        <f t="shared" si="41"/>
        <v>0.98290394336110554</v>
      </c>
      <c r="AB15" s="136">
        <f t="shared" si="21"/>
        <v>8</v>
      </c>
      <c r="AC15" s="132">
        <f t="shared" si="35"/>
        <v>493.66078866920594</v>
      </c>
      <c r="AD15" s="132">
        <f t="shared" si="36"/>
        <v>0.46602685076004552</v>
      </c>
      <c r="AE15" s="132"/>
      <c r="AF15" s="29">
        <f t="shared" si="22"/>
        <v>32</v>
      </c>
      <c r="AG15" s="29">
        <f t="shared" si="37"/>
        <v>7</v>
      </c>
      <c r="AH15" s="29">
        <f t="shared" si="2"/>
        <v>39</v>
      </c>
      <c r="AI15" s="134">
        <f t="shared" si="23"/>
        <v>0.42618665113558429</v>
      </c>
      <c r="AJ15" s="134">
        <f t="shared" si="3"/>
        <v>9.8205648182932408E-4</v>
      </c>
      <c r="AK15" s="132">
        <f t="shared" si="24"/>
        <v>3.0560282082932403E-4</v>
      </c>
      <c r="AL15" s="132">
        <f t="shared" si="25"/>
        <v>1.6129599388293239E-3</v>
      </c>
      <c r="AM15" s="132">
        <f t="shared" si="26"/>
        <v>2.9006192414879721E-3</v>
      </c>
      <c r="AN15" s="134">
        <f t="shared" si="27"/>
        <v>0.99709938075851201</v>
      </c>
      <c r="AO15" s="134">
        <f t="shared" si="38"/>
        <v>0.98290394336110554</v>
      </c>
      <c r="AP15" s="29">
        <f t="shared" si="39"/>
        <v>8</v>
      </c>
      <c r="AQ15" s="134">
        <f t="shared" si="28"/>
        <v>493.66078866920594</v>
      </c>
      <c r="AR15" s="134">
        <f t="shared" si="40"/>
        <v>0.46602685076004552</v>
      </c>
      <c r="AT15" s="7">
        <f t="shared" si="29"/>
        <v>32</v>
      </c>
      <c r="AU15" s="7">
        <f t="shared" si="30"/>
        <v>7</v>
      </c>
      <c r="AV15" s="7">
        <f t="shared" si="4"/>
        <v>39</v>
      </c>
      <c r="AW15" s="44">
        <f t="shared" si="5"/>
        <v>9.8299999999999993E-4</v>
      </c>
      <c r="AX15" s="44">
        <f t="shared" si="6"/>
        <v>3.0600000000000001E-4</v>
      </c>
      <c r="AY15" s="44">
        <f t="shared" si="7"/>
        <v>1.614E-3</v>
      </c>
      <c r="AZ15" s="44">
        <f t="shared" si="31"/>
        <v>0.99709938075851201</v>
      </c>
      <c r="BB15" s="7">
        <f t="shared" si="8"/>
        <v>32</v>
      </c>
      <c r="BC15" s="7">
        <f t="shared" si="9"/>
        <v>7</v>
      </c>
      <c r="BD15" s="7">
        <f t="shared" si="10"/>
        <v>39</v>
      </c>
      <c r="BE15" s="44">
        <f t="shared" si="11"/>
        <v>9.8205648182932408E-4</v>
      </c>
      <c r="BF15" s="44">
        <f t="shared" si="12"/>
        <v>3.0560282082932403E-4</v>
      </c>
      <c r="BG15" s="44">
        <f t="shared" si="13"/>
        <v>1.6129599388293239E-3</v>
      </c>
      <c r="BH15" s="44">
        <f t="shared" si="32"/>
        <v>2.9006192414879721E-3</v>
      </c>
      <c r="BI15" s="44">
        <f t="shared" si="33"/>
        <v>0.99709938075851201</v>
      </c>
      <c r="BJ15" s="44">
        <f t="shared" si="14"/>
        <v>0</v>
      </c>
    </row>
    <row r="16" spans="2:62" x14ac:dyDescent="0.25">
      <c r="B16" s="34">
        <v>10</v>
      </c>
      <c r="C16" s="41">
        <v>4.4900000000000002E-4</v>
      </c>
      <c r="E16" s="33">
        <v>10</v>
      </c>
      <c r="F16" s="37">
        <v>9.9999999999999995E-7</v>
      </c>
      <c r="H16" s="33">
        <v>11</v>
      </c>
      <c r="I16" s="40">
        <v>9.7000000000000005E-4</v>
      </c>
      <c r="O16" s="7">
        <v>5</v>
      </c>
      <c r="P16" s="18">
        <v>11018.478318552532</v>
      </c>
      <c r="R16">
        <f t="shared" si="0"/>
        <v>32</v>
      </c>
      <c r="S16">
        <f t="shared" si="34"/>
        <v>8</v>
      </c>
      <c r="T16">
        <f t="shared" si="15"/>
        <v>40</v>
      </c>
      <c r="U16" s="132">
        <f t="shared" si="16"/>
        <v>0.38308912461625555</v>
      </c>
      <c r="V16" s="132">
        <f t="shared" si="1"/>
        <v>1.03196254917488E-3</v>
      </c>
      <c r="W16" s="132">
        <f t="shared" si="17"/>
        <v>3.4453496517487998E-4</v>
      </c>
      <c r="X16" s="132">
        <f t="shared" si="18"/>
        <v>1.6628537016748798E-3</v>
      </c>
      <c r="Y16" s="132">
        <f t="shared" si="19"/>
        <v>3.03935121602464E-3</v>
      </c>
      <c r="Z16" s="132">
        <f t="shared" si="20"/>
        <v>0.99696064878397539</v>
      </c>
      <c r="AA16" s="132">
        <f t="shared" si="41"/>
        <v>0.98005291327045785</v>
      </c>
      <c r="AB16" s="136">
        <f t="shared" si="21"/>
        <v>9</v>
      </c>
      <c r="AC16" s="132">
        <f t="shared" si="35"/>
        <v>523.05463179462402</v>
      </c>
      <c r="AD16" s="132">
        <f t="shared" si="36"/>
        <v>0</v>
      </c>
      <c r="AE16" s="132"/>
      <c r="AF16" s="29">
        <f t="shared" si="22"/>
        <v>32</v>
      </c>
      <c r="AG16" s="29">
        <f t="shared" si="37"/>
        <v>8</v>
      </c>
      <c r="AH16" s="29">
        <f t="shared" si="2"/>
        <v>40</v>
      </c>
      <c r="AI16" s="134">
        <f t="shared" si="23"/>
        <v>0.38308912461625555</v>
      </c>
      <c r="AJ16" s="134">
        <f t="shared" si="3"/>
        <v>1.03196254917488E-3</v>
      </c>
      <c r="AK16" s="132">
        <f t="shared" si="24"/>
        <v>3.4453496517487998E-4</v>
      </c>
      <c r="AL16" s="132">
        <f t="shared" si="25"/>
        <v>1.6628537016748798E-3</v>
      </c>
      <c r="AM16" s="132">
        <f t="shared" si="26"/>
        <v>3.03935121602464E-3</v>
      </c>
      <c r="AN16" s="134">
        <f t="shared" si="27"/>
        <v>0.99696064878397539</v>
      </c>
      <c r="AO16" s="134">
        <f t="shared" si="38"/>
        <v>0.98005291327045785</v>
      </c>
      <c r="AP16" s="29">
        <f t="shared" si="39"/>
        <v>9</v>
      </c>
      <c r="AQ16" s="134">
        <f t="shared" si="28"/>
        <v>523.05463179462402</v>
      </c>
      <c r="AR16" s="134">
        <f>(8-AG16)*AO16*AI15</f>
        <v>0</v>
      </c>
      <c r="AT16" s="7">
        <f t="shared" si="29"/>
        <v>32</v>
      </c>
      <c r="AU16" s="7">
        <f t="shared" si="30"/>
        <v>8</v>
      </c>
      <c r="AV16" s="7">
        <f t="shared" si="4"/>
        <v>40</v>
      </c>
      <c r="AW16" s="44">
        <f t="shared" si="5"/>
        <v>1.0330000000000001E-3</v>
      </c>
      <c r="AX16" s="44">
        <f t="shared" si="6"/>
        <v>3.4499999999999998E-4</v>
      </c>
      <c r="AY16" s="44">
        <f t="shared" si="7"/>
        <v>1.6639999999999999E-3</v>
      </c>
      <c r="AZ16" s="44">
        <f t="shared" si="31"/>
        <v>0.99696064878397528</v>
      </c>
      <c r="BB16" s="7">
        <f t="shared" si="8"/>
        <v>32</v>
      </c>
      <c r="BC16" s="7">
        <f t="shared" si="9"/>
        <v>8</v>
      </c>
      <c r="BD16" s="7">
        <f t="shared" si="10"/>
        <v>40</v>
      </c>
      <c r="BE16" s="44">
        <f t="shared" si="11"/>
        <v>1.03196254917488E-3</v>
      </c>
      <c r="BF16" s="44">
        <f t="shared" si="12"/>
        <v>3.4453496517487998E-4</v>
      </c>
      <c r="BG16" s="44">
        <f t="shared" si="13"/>
        <v>1.6628537016748798E-3</v>
      </c>
      <c r="BH16" s="44">
        <f t="shared" si="32"/>
        <v>3.03935121602464E-3</v>
      </c>
      <c r="BI16" s="44">
        <f t="shared" si="33"/>
        <v>0.99696064878397539</v>
      </c>
      <c r="BJ16" s="44">
        <f t="shared" si="14"/>
        <v>0</v>
      </c>
    </row>
    <row r="17" spans="2:62" x14ac:dyDescent="0.25">
      <c r="B17" s="34">
        <v>11</v>
      </c>
      <c r="C17" s="41">
        <v>4.5300000000000001E-4</v>
      </c>
      <c r="E17" s="33">
        <v>11</v>
      </c>
      <c r="F17" s="38">
        <v>9.9999999999999995E-7</v>
      </c>
      <c r="H17" s="33">
        <v>12</v>
      </c>
      <c r="I17" s="39">
        <v>9.77E-4</v>
      </c>
      <c r="O17" s="7">
        <v>6</v>
      </c>
      <c r="P17" s="18">
        <v>12490.775921983743</v>
      </c>
      <c r="R17">
        <f t="shared" si="0"/>
        <v>32</v>
      </c>
      <c r="S17">
        <f t="shared" si="34"/>
        <v>9</v>
      </c>
      <c r="T17">
        <f t="shared" si="15"/>
        <v>41</v>
      </c>
      <c r="U17" s="132">
        <f t="shared" si="16"/>
        <v>0.34434977493595997</v>
      </c>
      <c r="V17" s="132">
        <f t="shared" si="1"/>
        <v>1.085856173403114E-3</v>
      </c>
      <c r="W17" s="132">
        <f t="shared" si="17"/>
        <v>3.8645747340311395E-4</v>
      </c>
      <c r="X17" s="132">
        <f t="shared" si="18"/>
        <v>1.716734074903114E-3</v>
      </c>
      <c r="Y17" s="132">
        <f t="shared" si="19"/>
        <v>3.189047721709342E-3</v>
      </c>
      <c r="Z17" s="132">
        <f t="shared" si="20"/>
        <v>0.99681095227829064</v>
      </c>
      <c r="AA17" s="132">
        <f t="shared" si="41"/>
        <v>0.97707418825674086</v>
      </c>
      <c r="AB17" s="136">
        <f t="shared" si="21"/>
        <v>10</v>
      </c>
      <c r="AC17" s="132">
        <f t="shared" si="35"/>
        <v>548.01305911674308</v>
      </c>
      <c r="AD17" s="132"/>
      <c r="AE17" s="132"/>
      <c r="AF17" s="29">
        <f t="shared" si="22"/>
        <v>32</v>
      </c>
      <c r="AG17" s="29">
        <f t="shared" si="37"/>
        <v>9</v>
      </c>
      <c r="AH17" s="29">
        <f t="shared" si="2"/>
        <v>41</v>
      </c>
      <c r="AI17" s="134">
        <f t="shared" si="23"/>
        <v>0.34434977493595997</v>
      </c>
      <c r="AJ17" s="134">
        <f t="shared" si="3"/>
        <v>1.085856173403114E-3</v>
      </c>
      <c r="AK17" s="132">
        <f t="shared" si="24"/>
        <v>3.8645747340311395E-4</v>
      </c>
      <c r="AL17" s="132">
        <f t="shared" si="25"/>
        <v>1.716734074903114E-3</v>
      </c>
      <c r="AM17" s="132">
        <f t="shared" si="26"/>
        <v>3.189047721709342E-3</v>
      </c>
      <c r="AN17" s="134">
        <f t="shared" si="27"/>
        <v>0.99681095227829064</v>
      </c>
      <c r="AO17" s="134">
        <f t="shared" si="38"/>
        <v>0.97707418825674086</v>
      </c>
      <c r="AP17" s="29">
        <f t="shared" si="39"/>
        <v>10</v>
      </c>
      <c r="AQ17" s="134">
        <f t="shared" si="28"/>
        <v>548.01305911674308</v>
      </c>
      <c r="AR17" s="132"/>
      <c r="AT17" s="7">
        <f t="shared" si="29"/>
        <v>32</v>
      </c>
      <c r="AU17" s="7">
        <f t="shared" si="30"/>
        <v>9</v>
      </c>
      <c r="AV17" s="7">
        <f t="shared" si="4"/>
        <v>41</v>
      </c>
      <c r="AW17" s="44">
        <f t="shared" si="5"/>
        <v>1.0870000000000001E-3</v>
      </c>
      <c r="AX17" s="44">
        <f t="shared" si="6"/>
        <v>3.8699999999999997E-4</v>
      </c>
      <c r="AY17" s="44">
        <f t="shared" si="7"/>
        <v>1.7179999999999999E-3</v>
      </c>
      <c r="AZ17" s="44">
        <f t="shared" si="31"/>
        <v>0.99681095227829064</v>
      </c>
      <c r="BB17" s="7">
        <f t="shared" si="8"/>
        <v>32</v>
      </c>
      <c r="BC17" s="7">
        <f t="shared" si="9"/>
        <v>9</v>
      </c>
      <c r="BD17" s="7">
        <f t="shared" si="10"/>
        <v>41</v>
      </c>
      <c r="BE17" s="44">
        <f t="shared" si="11"/>
        <v>1.085856173403114E-3</v>
      </c>
      <c r="BF17" s="44">
        <f t="shared" si="12"/>
        <v>3.8645747340311395E-4</v>
      </c>
      <c r="BG17" s="44">
        <f t="shared" si="13"/>
        <v>1.716734074903114E-3</v>
      </c>
      <c r="BH17" s="44">
        <f t="shared" si="32"/>
        <v>3.189047721709342E-3</v>
      </c>
      <c r="BI17" s="44">
        <f t="shared" si="33"/>
        <v>0.99681095227829064</v>
      </c>
      <c r="BJ17" s="44">
        <f t="shared" si="14"/>
        <v>0</v>
      </c>
    </row>
    <row r="18" spans="2:62" x14ac:dyDescent="0.25">
      <c r="B18" s="34">
        <v>12</v>
      </c>
      <c r="C18" s="41">
        <v>4.57E-4</v>
      </c>
      <c r="E18" s="33">
        <v>12</v>
      </c>
      <c r="F18" s="37">
        <v>1.9999999999999999E-6</v>
      </c>
      <c r="H18" s="33">
        <v>13</v>
      </c>
      <c r="I18" s="40">
        <v>9.8499999999999998E-4</v>
      </c>
      <c r="O18" s="7">
        <v>7</v>
      </c>
      <c r="P18" s="18">
        <v>13619.941805606881</v>
      </c>
      <c r="R18">
        <f t="shared" si="0"/>
        <v>32</v>
      </c>
      <c r="S18">
        <f t="shared" si="34"/>
        <v>10</v>
      </c>
      <c r="T18">
        <f t="shared" si="15"/>
        <v>42</v>
      </c>
      <c r="U18" s="132">
        <f t="shared" si="16"/>
        <v>0.30952788758288541</v>
      </c>
      <c r="V18" s="132">
        <f t="shared" si="1"/>
        <v>1.1437362133394583E-3</v>
      </c>
      <c r="W18" s="132">
        <f t="shared" si="17"/>
        <v>4.3236811333945835E-4</v>
      </c>
      <c r="X18" s="132">
        <f t="shared" si="18"/>
        <v>1.7735998183394583E-3</v>
      </c>
      <c r="Y18" s="132">
        <f t="shared" si="19"/>
        <v>3.3497041450183751E-3</v>
      </c>
      <c r="Z18" s="132">
        <f t="shared" si="20"/>
        <v>0.99665029585498166</v>
      </c>
      <c r="AA18" s="132">
        <f t="shared" si="41"/>
        <v>0.97395825204273967</v>
      </c>
      <c r="AB18" s="136">
        <f t="shared" si="21"/>
        <v>11</v>
      </c>
      <c r="AC18" s="132">
        <f t="shared" si="35"/>
        <v>568.91834987184188</v>
      </c>
      <c r="AD18" s="132"/>
      <c r="AE18" s="132"/>
      <c r="AF18" s="29">
        <f t="shared" si="22"/>
        <v>32</v>
      </c>
      <c r="AG18" s="29">
        <f t="shared" si="37"/>
        <v>10</v>
      </c>
      <c r="AH18" s="29">
        <f t="shared" si="2"/>
        <v>42</v>
      </c>
      <c r="AI18" s="134">
        <f t="shared" si="23"/>
        <v>0.30952788758288541</v>
      </c>
      <c r="AJ18" s="134">
        <f t="shared" si="3"/>
        <v>1.1437362133394583E-3</v>
      </c>
      <c r="AK18" s="132">
        <f t="shared" si="24"/>
        <v>4.3236811333945835E-4</v>
      </c>
      <c r="AL18" s="132">
        <f t="shared" si="25"/>
        <v>1.7735998183394583E-3</v>
      </c>
      <c r="AM18" s="132">
        <f t="shared" si="26"/>
        <v>3.3497041450183751E-3</v>
      </c>
      <c r="AN18" s="134">
        <f t="shared" si="27"/>
        <v>0.99665029585498166</v>
      </c>
      <c r="AO18" s="134">
        <f t="shared" si="38"/>
        <v>0.97395825204273967</v>
      </c>
      <c r="AP18" s="29">
        <f t="shared" si="39"/>
        <v>11</v>
      </c>
      <c r="AQ18" s="134">
        <f t="shared" si="28"/>
        <v>568.91834987184188</v>
      </c>
      <c r="AR18" s="132"/>
      <c r="AT18" s="7">
        <f t="shared" si="29"/>
        <v>32</v>
      </c>
      <c r="AU18" s="7">
        <f t="shared" si="30"/>
        <v>10</v>
      </c>
      <c r="AV18" s="7">
        <f t="shared" si="4"/>
        <v>42</v>
      </c>
      <c r="AW18" s="44">
        <f t="shared" si="5"/>
        <v>1.145E-3</v>
      </c>
      <c r="AX18" s="44">
        <f t="shared" si="6"/>
        <v>4.3300000000000001E-4</v>
      </c>
      <c r="AY18" s="44">
        <f t="shared" si="7"/>
        <v>1.7750000000000001E-3</v>
      </c>
      <c r="AZ18" s="44">
        <f t="shared" si="31"/>
        <v>0.99665029585498177</v>
      </c>
      <c r="BB18" s="7">
        <f t="shared" si="8"/>
        <v>32</v>
      </c>
      <c r="BC18" s="7">
        <f t="shared" si="9"/>
        <v>10</v>
      </c>
      <c r="BD18" s="7">
        <f t="shared" si="10"/>
        <v>42</v>
      </c>
      <c r="BE18" s="44">
        <f t="shared" si="11"/>
        <v>1.1437362133394583E-3</v>
      </c>
      <c r="BF18" s="44">
        <f t="shared" si="12"/>
        <v>4.3236811333945835E-4</v>
      </c>
      <c r="BG18" s="44">
        <f t="shared" si="13"/>
        <v>1.7735998183394583E-3</v>
      </c>
      <c r="BH18" s="44">
        <f t="shared" si="32"/>
        <v>3.3497041450183751E-3</v>
      </c>
      <c r="BI18" s="44">
        <f t="shared" si="33"/>
        <v>0.99665029585498166</v>
      </c>
      <c r="BJ18" s="44">
        <f t="shared" si="14"/>
        <v>0</v>
      </c>
    </row>
    <row r="19" spans="2:62" x14ac:dyDescent="0.25">
      <c r="B19" s="34">
        <v>13</v>
      </c>
      <c r="C19" s="41">
        <v>4.6299999999999998E-4</v>
      </c>
      <c r="E19" s="33">
        <v>13</v>
      </c>
      <c r="F19" s="38">
        <v>1.9999999999999999E-6</v>
      </c>
      <c r="H19" s="33">
        <v>14</v>
      </c>
      <c r="I19" s="39">
        <v>9.9400000000000009E-4</v>
      </c>
      <c r="O19" s="7">
        <v>8</v>
      </c>
      <c r="P19" s="18">
        <v>14350.420001041148</v>
      </c>
      <c r="R19">
        <f t="shared" si="0"/>
        <v>32</v>
      </c>
      <c r="S19">
        <f t="shared" si="34"/>
        <v>11</v>
      </c>
      <c r="T19">
        <f t="shared" si="15"/>
        <v>43</v>
      </c>
      <c r="U19" s="132">
        <f t="shared" si="16"/>
        <v>0.27822731468124529</v>
      </c>
      <c r="V19" s="132">
        <f t="shared" si="1"/>
        <v>1.2065996816243733E-3</v>
      </c>
      <c r="W19" s="132">
        <f t="shared" si="17"/>
        <v>4.8326395162437332E-4</v>
      </c>
      <c r="X19" s="132">
        <f t="shared" si="18"/>
        <v>1.8334479476243735E-3</v>
      </c>
      <c r="Y19" s="132">
        <f t="shared" si="19"/>
        <v>3.5233115808731199E-3</v>
      </c>
      <c r="Z19" s="132">
        <f t="shared" si="20"/>
        <v>0.99647668841912684</v>
      </c>
      <c r="AA19" s="132">
        <f t="shared" si="41"/>
        <v>0.97069578004879731</v>
      </c>
      <c r="AB19" s="136">
        <f t="shared" si="21"/>
        <v>12</v>
      </c>
      <c r="AC19" s="132">
        <f t="shared" si="35"/>
        <v>586.56833865207602</v>
      </c>
      <c r="AD19" s="132"/>
      <c r="AE19" s="132"/>
      <c r="AF19" s="29">
        <f t="shared" si="22"/>
        <v>32</v>
      </c>
      <c r="AG19" s="29">
        <f t="shared" si="37"/>
        <v>11</v>
      </c>
      <c r="AH19" s="29">
        <f t="shared" si="2"/>
        <v>43</v>
      </c>
      <c r="AI19" s="134">
        <f t="shared" si="23"/>
        <v>0.27822731468124529</v>
      </c>
      <c r="AJ19" s="134">
        <f t="shared" si="3"/>
        <v>1.2065996816243733E-3</v>
      </c>
      <c r="AK19" s="132">
        <f t="shared" si="24"/>
        <v>4.8326395162437332E-4</v>
      </c>
      <c r="AL19" s="132">
        <f t="shared" si="25"/>
        <v>1.8334479476243735E-3</v>
      </c>
      <c r="AM19" s="132">
        <f t="shared" si="26"/>
        <v>3.5233115808731199E-3</v>
      </c>
      <c r="AN19" s="134">
        <f t="shared" si="27"/>
        <v>0.99647668841912684</v>
      </c>
      <c r="AO19" s="134">
        <f t="shared" si="38"/>
        <v>0.97069578004879731</v>
      </c>
      <c r="AP19" s="29">
        <f t="shared" si="39"/>
        <v>12</v>
      </c>
      <c r="AQ19" s="134">
        <f t="shared" si="28"/>
        <v>586.56833865207602</v>
      </c>
      <c r="AR19" s="132"/>
      <c r="AT19" s="7">
        <f t="shared" si="29"/>
        <v>32</v>
      </c>
      <c r="AU19" s="7">
        <f t="shared" si="30"/>
        <v>11</v>
      </c>
      <c r="AV19" s="7">
        <f t="shared" si="4"/>
        <v>43</v>
      </c>
      <c r="AW19" s="44">
        <f t="shared" si="5"/>
        <v>1.2080000000000001E-3</v>
      </c>
      <c r="AX19" s="44">
        <f t="shared" si="6"/>
        <v>4.84E-4</v>
      </c>
      <c r="AY19" s="44">
        <f t="shared" si="7"/>
        <v>1.835E-3</v>
      </c>
      <c r="AZ19" s="44">
        <f t="shared" si="31"/>
        <v>0.99647668841912684</v>
      </c>
      <c r="BB19" s="7">
        <f t="shared" si="8"/>
        <v>32</v>
      </c>
      <c r="BC19" s="7">
        <f t="shared" si="9"/>
        <v>11</v>
      </c>
      <c r="BD19" s="7">
        <f t="shared" si="10"/>
        <v>43</v>
      </c>
      <c r="BE19" s="44">
        <f t="shared" si="11"/>
        <v>1.2065996816243733E-3</v>
      </c>
      <c r="BF19" s="44">
        <f t="shared" si="12"/>
        <v>4.8326395162437332E-4</v>
      </c>
      <c r="BG19" s="44">
        <f t="shared" si="13"/>
        <v>1.8334479476243735E-3</v>
      </c>
      <c r="BH19" s="44">
        <f t="shared" si="32"/>
        <v>3.5233115808731199E-3</v>
      </c>
      <c r="BI19" s="44">
        <f t="shared" si="33"/>
        <v>0.99647668841912684</v>
      </c>
      <c r="BJ19" s="44">
        <f t="shared" si="14"/>
        <v>0</v>
      </c>
    </row>
    <row r="20" spans="2:62" x14ac:dyDescent="0.25">
      <c r="B20" s="34">
        <v>14</v>
      </c>
      <c r="C20" s="41">
        <v>4.6799999999999999E-4</v>
      </c>
      <c r="E20" s="33">
        <v>14</v>
      </c>
      <c r="F20" s="37">
        <v>3.0000000000000001E-6</v>
      </c>
      <c r="H20" s="33">
        <v>15</v>
      </c>
      <c r="I20" s="40">
        <v>1.003E-3</v>
      </c>
      <c r="O20" s="7">
        <v>9</v>
      </c>
      <c r="P20" s="18">
        <v>14616.116320685016</v>
      </c>
      <c r="R20">
        <f t="shared" si="0"/>
        <v>32</v>
      </c>
      <c r="S20">
        <f t="shared" si="34"/>
        <v>12</v>
      </c>
      <c r="T20">
        <f t="shared" si="15"/>
        <v>44</v>
      </c>
      <c r="U20" s="132">
        <f t="shared" si="16"/>
        <v>0.25009196825280472</v>
      </c>
      <c r="V20" s="132">
        <f t="shared" si="1"/>
        <v>1.2764419152666E-3</v>
      </c>
      <c r="W20" s="132">
        <f t="shared" si="17"/>
        <v>5.3814396526659998E-4</v>
      </c>
      <c r="X20" s="132">
        <f t="shared" si="18"/>
        <v>1.8982742862666002E-3</v>
      </c>
      <c r="Y20" s="132">
        <f t="shared" si="19"/>
        <v>3.7128601667998002E-3</v>
      </c>
      <c r="Z20" s="132">
        <f t="shared" si="20"/>
        <v>0.99628713983320016</v>
      </c>
      <c r="AA20" s="132">
        <f t="shared" si="41"/>
        <v>0.96727571636544663</v>
      </c>
      <c r="AB20" s="136">
        <f t="shared" si="21"/>
        <v>13</v>
      </c>
      <c r="AC20" s="132">
        <f t="shared" si="35"/>
        <v>602.12366673498173</v>
      </c>
      <c r="AD20" s="132"/>
      <c r="AE20" s="132"/>
      <c r="AF20" s="29">
        <f t="shared" si="22"/>
        <v>32</v>
      </c>
      <c r="AG20" s="29">
        <f t="shared" si="37"/>
        <v>12</v>
      </c>
      <c r="AH20" s="29">
        <f t="shared" si="2"/>
        <v>44</v>
      </c>
      <c r="AI20" s="134">
        <f t="shared" si="23"/>
        <v>0.25009196825280472</v>
      </c>
      <c r="AJ20" s="134">
        <f t="shared" si="3"/>
        <v>1.2764419152666E-3</v>
      </c>
      <c r="AK20" s="132">
        <f t="shared" si="24"/>
        <v>5.3814396526659998E-4</v>
      </c>
      <c r="AL20" s="132">
        <f t="shared" si="25"/>
        <v>1.8982742862666002E-3</v>
      </c>
      <c r="AM20" s="132">
        <f t="shared" si="26"/>
        <v>3.7128601667998002E-3</v>
      </c>
      <c r="AN20" s="134">
        <f t="shared" si="27"/>
        <v>0.99628713983320016</v>
      </c>
      <c r="AO20" s="134">
        <f t="shared" si="38"/>
        <v>0.96727571636544663</v>
      </c>
      <c r="AP20" s="29">
        <f t="shared" si="39"/>
        <v>13</v>
      </c>
      <c r="AQ20" s="134">
        <f t="shared" si="28"/>
        <v>602.12366673498173</v>
      </c>
      <c r="AR20" s="132"/>
      <c r="AT20" s="7">
        <f t="shared" si="29"/>
        <v>32</v>
      </c>
      <c r="AU20" s="7">
        <f t="shared" si="30"/>
        <v>12</v>
      </c>
      <c r="AV20" s="7">
        <f t="shared" si="4"/>
        <v>44</v>
      </c>
      <c r="AW20" s="44">
        <f t="shared" si="5"/>
        <v>1.2780000000000001E-3</v>
      </c>
      <c r="AX20" s="44">
        <f t="shared" si="6"/>
        <v>5.3899999999999998E-4</v>
      </c>
      <c r="AY20" s="44">
        <f t="shared" si="7"/>
        <v>1.9E-3</v>
      </c>
      <c r="AZ20" s="44">
        <f t="shared" si="31"/>
        <v>0.99628713983320027</v>
      </c>
      <c r="BB20" s="7">
        <f t="shared" si="8"/>
        <v>32</v>
      </c>
      <c r="BC20" s="7">
        <f t="shared" si="9"/>
        <v>12</v>
      </c>
      <c r="BD20" s="7">
        <f t="shared" si="10"/>
        <v>44</v>
      </c>
      <c r="BE20" s="44">
        <f t="shared" si="11"/>
        <v>1.2764419152666E-3</v>
      </c>
      <c r="BF20" s="44">
        <f t="shared" si="12"/>
        <v>5.3814396526659998E-4</v>
      </c>
      <c r="BG20" s="44">
        <f t="shared" si="13"/>
        <v>1.8982742862666002E-3</v>
      </c>
      <c r="BH20" s="44">
        <f t="shared" si="32"/>
        <v>3.7128601667998002E-3</v>
      </c>
      <c r="BI20" s="44">
        <f t="shared" si="33"/>
        <v>0.99628713983320016</v>
      </c>
      <c r="BJ20" s="44">
        <f t="shared" si="14"/>
        <v>0</v>
      </c>
    </row>
    <row r="21" spans="2:62" x14ac:dyDescent="0.25">
      <c r="B21" s="34">
        <v>15</v>
      </c>
      <c r="C21" s="41">
        <v>4.75E-4</v>
      </c>
      <c r="E21" s="33">
        <v>15</v>
      </c>
      <c r="F21" s="38">
        <v>3.9999999999999998E-6</v>
      </c>
      <c r="H21" s="33">
        <v>16</v>
      </c>
      <c r="I21" s="39">
        <v>1.0139999999999999E-3</v>
      </c>
      <c r="O21" s="7">
        <v>10</v>
      </c>
      <c r="P21" s="18">
        <v>14678.455441541475</v>
      </c>
      <c r="R21">
        <f t="shared" si="0"/>
        <v>32</v>
      </c>
      <c r="S21">
        <f t="shared" si="34"/>
        <v>13</v>
      </c>
      <c r="T21">
        <f t="shared" si="15"/>
        <v>45</v>
      </c>
      <c r="U21" s="132">
        <f t="shared" si="16"/>
        <v>0.22480176921600423</v>
      </c>
      <c r="V21" s="132">
        <f t="shared" si="1"/>
        <v>1.351263956153232E-3</v>
      </c>
      <c r="W21" s="132">
        <f t="shared" si="17"/>
        <v>5.9800589215323202E-4</v>
      </c>
      <c r="X21" s="132">
        <f t="shared" si="18"/>
        <v>1.9660797636532321E-3</v>
      </c>
      <c r="Y21" s="132">
        <f t="shared" si="19"/>
        <v>3.9153496119596967E-3</v>
      </c>
      <c r="Z21" s="132">
        <f t="shared" si="20"/>
        <v>0.99608465038804028</v>
      </c>
      <c r="AA21" s="132">
        <f t="shared" si="41"/>
        <v>0.9636843568878406</v>
      </c>
      <c r="AB21" s="136">
        <f t="shared" si="21"/>
        <v>14</v>
      </c>
      <c r="AC21" s="132">
        <f t="shared" si="35"/>
        <v>614.7436075200651</v>
      </c>
      <c r="AD21" s="132"/>
      <c r="AE21" s="132"/>
      <c r="AF21" s="29">
        <f t="shared" si="22"/>
        <v>32</v>
      </c>
      <c r="AG21" s="29">
        <f t="shared" si="37"/>
        <v>13</v>
      </c>
      <c r="AH21" s="29">
        <f t="shared" si="2"/>
        <v>45</v>
      </c>
      <c r="AI21" s="134">
        <f t="shared" si="23"/>
        <v>0.22480176921600423</v>
      </c>
      <c r="AJ21" s="134">
        <f t="shared" si="3"/>
        <v>1.351263956153232E-3</v>
      </c>
      <c r="AK21" s="132">
        <f t="shared" si="24"/>
        <v>5.9800589215323202E-4</v>
      </c>
      <c r="AL21" s="132">
        <f t="shared" si="25"/>
        <v>1.9660797636532321E-3</v>
      </c>
      <c r="AM21" s="132">
        <f t="shared" si="26"/>
        <v>3.9153496119596967E-3</v>
      </c>
      <c r="AN21" s="134">
        <f t="shared" si="27"/>
        <v>0.99608465038804028</v>
      </c>
      <c r="AO21" s="134">
        <f t="shared" si="38"/>
        <v>0.9636843568878406</v>
      </c>
      <c r="AP21" s="29">
        <f t="shared" si="39"/>
        <v>14</v>
      </c>
      <c r="AQ21" s="134">
        <f t="shared" si="28"/>
        <v>614.7436075200651</v>
      </c>
      <c r="AR21" s="132"/>
      <c r="AT21" s="7">
        <f t="shared" si="29"/>
        <v>32</v>
      </c>
      <c r="AU21" s="7">
        <f t="shared" si="30"/>
        <v>13</v>
      </c>
      <c r="AV21" s="7">
        <f t="shared" si="4"/>
        <v>45</v>
      </c>
      <c r="AW21" s="44">
        <f t="shared" si="5"/>
        <v>1.353E-3</v>
      </c>
      <c r="AX21" s="44">
        <f t="shared" si="6"/>
        <v>5.9900000000000003E-4</v>
      </c>
      <c r="AY21" s="44">
        <f t="shared" si="7"/>
        <v>1.9680000000000001E-3</v>
      </c>
      <c r="AZ21" s="44">
        <f t="shared" si="31"/>
        <v>0.99608465038804017</v>
      </c>
      <c r="BB21" s="7">
        <f t="shared" si="8"/>
        <v>32</v>
      </c>
      <c r="BC21" s="7">
        <f t="shared" si="9"/>
        <v>13</v>
      </c>
      <c r="BD21" s="7">
        <f t="shared" si="10"/>
        <v>45</v>
      </c>
      <c r="BE21" s="44">
        <f t="shared" si="11"/>
        <v>1.351263956153232E-3</v>
      </c>
      <c r="BF21" s="44">
        <f t="shared" si="12"/>
        <v>5.9800589215323202E-4</v>
      </c>
      <c r="BG21" s="44">
        <f t="shared" si="13"/>
        <v>1.9660797636532321E-3</v>
      </c>
      <c r="BH21" s="44">
        <f t="shared" si="32"/>
        <v>3.9153496119596967E-3</v>
      </c>
      <c r="BI21" s="44">
        <f t="shared" si="33"/>
        <v>0.99608465038804028</v>
      </c>
      <c r="BJ21" s="44">
        <f t="shared" si="14"/>
        <v>0</v>
      </c>
    </row>
    <row r="22" spans="2:62" x14ac:dyDescent="0.25">
      <c r="B22" s="34">
        <v>16</v>
      </c>
      <c r="C22" s="41">
        <v>4.8200000000000001E-4</v>
      </c>
      <c r="E22" s="33">
        <v>16</v>
      </c>
      <c r="F22" s="37">
        <v>5.0000000000000004E-6</v>
      </c>
      <c r="H22" s="33">
        <v>17</v>
      </c>
      <c r="I22" s="40">
        <v>1.0250000000000001E-3</v>
      </c>
      <c r="O22" s="7">
        <v>11</v>
      </c>
      <c r="P22" s="18">
        <v>14491.158018786429</v>
      </c>
      <c r="R22">
        <f t="shared" si="0"/>
        <v>32</v>
      </c>
      <c r="S22">
        <f t="shared" si="34"/>
        <v>14</v>
      </c>
      <c r="T22">
        <f t="shared" si="15"/>
        <v>46</v>
      </c>
      <c r="U22" s="132">
        <f t="shared" si="16"/>
        <v>0.20206900603685776</v>
      </c>
      <c r="V22" s="132">
        <f t="shared" si="1"/>
        <v>1.4330590942250917E-3</v>
      </c>
      <c r="W22" s="132">
        <f t="shared" si="17"/>
        <v>6.6384487922509163E-4</v>
      </c>
      <c r="X22" s="132">
        <f t="shared" si="18"/>
        <v>2.0388575992250917E-3</v>
      </c>
      <c r="Y22" s="132">
        <f t="shared" si="19"/>
        <v>4.1357615726752752E-3</v>
      </c>
      <c r="Z22" s="132">
        <f t="shared" si="20"/>
        <v>0.99586423842732474</v>
      </c>
      <c r="AA22" s="132">
        <f t="shared" si="41"/>
        <v>0.95991119571504813</v>
      </c>
      <c r="AB22" s="136">
        <f t="shared" si="21"/>
        <v>15</v>
      </c>
      <c r="AC22" s="132">
        <f t="shared" si="35"/>
        <v>625.42808556439275</v>
      </c>
      <c r="AD22" s="132"/>
      <c r="AE22" s="132"/>
      <c r="AF22" s="29">
        <f t="shared" si="22"/>
        <v>32</v>
      </c>
      <c r="AG22" s="29">
        <f t="shared" si="37"/>
        <v>14</v>
      </c>
      <c r="AH22" s="29">
        <f t="shared" si="2"/>
        <v>46</v>
      </c>
      <c r="AI22" s="134">
        <f t="shared" si="23"/>
        <v>0.20206900603685776</v>
      </c>
      <c r="AJ22" s="134">
        <f t="shared" si="3"/>
        <v>1.4330590942250917E-3</v>
      </c>
      <c r="AK22" s="132">
        <f t="shared" si="24"/>
        <v>6.6384487922509163E-4</v>
      </c>
      <c r="AL22" s="132">
        <f t="shared" si="25"/>
        <v>2.0388575992250917E-3</v>
      </c>
      <c r="AM22" s="132">
        <f t="shared" si="26"/>
        <v>4.1357615726752752E-3</v>
      </c>
      <c r="AN22" s="134">
        <f t="shared" si="27"/>
        <v>0.99586423842732474</v>
      </c>
      <c r="AO22" s="134">
        <f t="shared" si="38"/>
        <v>0.95991119571504813</v>
      </c>
      <c r="AP22" s="29">
        <f t="shared" si="39"/>
        <v>15</v>
      </c>
      <c r="AQ22" s="134">
        <f t="shared" si="28"/>
        <v>625.42808556439275</v>
      </c>
      <c r="AR22" s="132"/>
      <c r="AT22" s="7">
        <f t="shared" si="29"/>
        <v>32</v>
      </c>
      <c r="AU22" s="7">
        <f t="shared" si="30"/>
        <v>14</v>
      </c>
      <c r="AV22" s="7">
        <f t="shared" si="4"/>
        <v>46</v>
      </c>
      <c r="AW22" s="44">
        <f t="shared" si="5"/>
        <v>1.4350000000000001E-3</v>
      </c>
      <c r="AX22" s="44">
        <f t="shared" si="6"/>
        <v>6.6500000000000001E-4</v>
      </c>
      <c r="AY22" s="44">
        <f t="shared" si="7"/>
        <v>2.0409999999999998E-3</v>
      </c>
      <c r="AZ22" s="44">
        <f t="shared" si="31"/>
        <v>0.99586423842732474</v>
      </c>
      <c r="BB22" s="7">
        <f t="shared" si="8"/>
        <v>32</v>
      </c>
      <c r="BC22" s="7">
        <f t="shared" si="9"/>
        <v>14</v>
      </c>
      <c r="BD22" s="7">
        <f t="shared" si="10"/>
        <v>46</v>
      </c>
      <c r="BE22" s="44">
        <f t="shared" si="11"/>
        <v>1.4330590942250917E-3</v>
      </c>
      <c r="BF22" s="44">
        <f t="shared" si="12"/>
        <v>6.6384487922509163E-4</v>
      </c>
      <c r="BG22" s="44">
        <f t="shared" si="13"/>
        <v>2.0388575992250917E-3</v>
      </c>
      <c r="BH22" s="44">
        <f t="shared" si="32"/>
        <v>4.1357615726752752E-3</v>
      </c>
      <c r="BI22" s="44">
        <f t="shared" si="33"/>
        <v>0.99586423842732474</v>
      </c>
      <c r="BJ22" s="44">
        <f t="shared" si="14"/>
        <v>0</v>
      </c>
    </row>
    <row r="23" spans="2:62" x14ac:dyDescent="0.25">
      <c r="B23" s="34">
        <v>17</v>
      </c>
      <c r="C23" s="41">
        <v>4.8899999999999996E-4</v>
      </c>
      <c r="E23" s="33">
        <v>17</v>
      </c>
      <c r="F23" s="38">
        <v>6.9999999999999999E-6</v>
      </c>
      <c r="H23" s="33">
        <v>18</v>
      </c>
      <c r="I23" s="39">
        <v>1.0369999999999999E-3</v>
      </c>
      <c r="O23" s="7">
        <v>12</v>
      </c>
      <c r="P23" s="18">
        <v>13998.856201148516</v>
      </c>
      <c r="R23">
        <f t="shared" si="0"/>
        <v>32</v>
      </c>
      <c r="S23">
        <f t="shared" si="34"/>
        <v>15</v>
      </c>
      <c r="T23">
        <f t="shared" si="15"/>
        <v>47</v>
      </c>
      <c r="U23" s="132">
        <f t="shared" si="16"/>
        <v>0.18163506160616424</v>
      </c>
      <c r="V23" s="132">
        <f t="shared" si="1"/>
        <v>1.5228246174144001E-3</v>
      </c>
      <c r="W23" s="132">
        <f t="shared" si="17"/>
        <v>7.3466016841439998E-4</v>
      </c>
      <c r="X23" s="132">
        <f t="shared" si="18"/>
        <v>2.1156063934143999E-3</v>
      </c>
      <c r="Y23" s="132">
        <f t="shared" si="19"/>
        <v>4.3730911792432001E-3</v>
      </c>
      <c r="Z23" s="132">
        <f t="shared" si="20"/>
        <v>0.99562690882075677</v>
      </c>
      <c r="AA23" s="132">
        <f t="shared" si="41"/>
        <v>0.95594123187862912</v>
      </c>
      <c r="AB23" s="136">
        <f t="shared" si="21"/>
        <v>16</v>
      </c>
      <c r="AC23" s="132">
        <f t="shared" si="35"/>
        <v>634.58822624080369</v>
      </c>
      <c r="AD23" s="132"/>
      <c r="AE23" s="132"/>
      <c r="AF23" s="29">
        <f t="shared" si="22"/>
        <v>32</v>
      </c>
      <c r="AG23" s="29">
        <f t="shared" si="37"/>
        <v>15</v>
      </c>
      <c r="AH23" s="29">
        <f t="shared" si="2"/>
        <v>47</v>
      </c>
      <c r="AI23" s="134">
        <f t="shared" si="23"/>
        <v>0.18163506160616424</v>
      </c>
      <c r="AJ23" s="134">
        <f t="shared" si="3"/>
        <v>1.5228246174144001E-3</v>
      </c>
      <c r="AK23" s="132">
        <f t="shared" si="24"/>
        <v>7.3466016841439998E-4</v>
      </c>
      <c r="AL23" s="132">
        <f t="shared" si="25"/>
        <v>2.1156063934143999E-3</v>
      </c>
      <c r="AM23" s="132">
        <f t="shared" si="26"/>
        <v>4.3730911792432001E-3</v>
      </c>
      <c r="AN23" s="134">
        <f t="shared" si="27"/>
        <v>0.99562690882075677</v>
      </c>
      <c r="AO23" s="134">
        <f t="shared" si="38"/>
        <v>0.95594123187862912</v>
      </c>
      <c r="AP23" s="29">
        <f t="shared" si="39"/>
        <v>16</v>
      </c>
      <c r="AQ23" s="134">
        <f t="shared" si="28"/>
        <v>634.58822624080369</v>
      </c>
      <c r="AR23" s="132"/>
      <c r="AT23" s="7">
        <f t="shared" si="29"/>
        <v>32</v>
      </c>
      <c r="AU23" s="7">
        <f t="shared" si="30"/>
        <v>15</v>
      </c>
      <c r="AV23" s="7">
        <f t="shared" si="4"/>
        <v>47</v>
      </c>
      <c r="AW23" s="44">
        <f t="shared" si="5"/>
        <v>1.5250000000000001E-3</v>
      </c>
      <c r="AX23" s="44">
        <f t="shared" si="6"/>
        <v>7.36E-4</v>
      </c>
      <c r="AY23" s="44">
        <f t="shared" si="7"/>
        <v>2.1180000000000001E-3</v>
      </c>
      <c r="AZ23" s="44">
        <f t="shared" si="31"/>
        <v>0.995626908820757</v>
      </c>
      <c r="BB23" s="7">
        <f t="shared" si="8"/>
        <v>32</v>
      </c>
      <c r="BC23" s="7">
        <f t="shared" si="9"/>
        <v>15</v>
      </c>
      <c r="BD23" s="7">
        <f t="shared" si="10"/>
        <v>47</v>
      </c>
      <c r="BE23" s="44">
        <f t="shared" si="11"/>
        <v>1.5228246174144001E-3</v>
      </c>
      <c r="BF23" s="44">
        <f t="shared" si="12"/>
        <v>7.3466016841439998E-4</v>
      </c>
      <c r="BG23" s="44">
        <f t="shared" si="13"/>
        <v>2.1156063934143999E-3</v>
      </c>
      <c r="BH23" s="44">
        <f t="shared" si="32"/>
        <v>4.3730911792432001E-3</v>
      </c>
      <c r="BI23" s="44">
        <f t="shared" si="33"/>
        <v>0.99562690882075677</v>
      </c>
      <c r="BJ23" s="44">
        <f t="shared" si="14"/>
        <v>0</v>
      </c>
    </row>
    <row r="24" spans="2:62" x14ac:dyDescent="0.25">
      <c r="B24" s="34">
        <v>18</v>
      </c>
      <c r="C24" s="41">
        <v>4.9799999999999996E-4</v>
      </c>
      <c r="E24" s="33">
        <v>18</v>
      </c>
      <c r="F24" s="37">
        <v>9.0000000000000002E-6</v>
      </c>
      <c r="H24" s="33">
        <v>19</v>
      </c>
      <c r="I24" s="40">
        <v>1.0499999999999999E-3</v>
      </c>
      <c r="O24" s="7">
        <v>13</v>
      </c>
      <c r="P24" s="18">
        <v>13133.428372064011</v>
      </c>
      <c r="R24">
        <f t="shared" si="0"/>
        <v>32</v>
      </c>
      <c r="S24">
        <f t="shared" si="34"/>
        <v>16</v>
      </c>
      <c r="T24">
        <f t="shared" si="15"/>
        <v>48</v>
      </c>
      <c r="U24" s="132">
        <f t="shared" si="16"/>
        <v>0.16326747110666448</v>
      </c>
      <c r="V24" s="132">
        <f t="shared" si="1"/>
        <v>1.6205559173816922E-3</v>
      </c>
      <c r="W24" s="132">
        <f t="shared" si="17"/>
        <v>8.1044842288169197E-4</v>
      </c>
      <c r="X24" s="132">
        <f t="shared" si="18"/>
        <v>2.198321249381692E-3</v>
      </c>
      <c r="Y24" s="132">
        <f t="shared" si="19"/>
        <v>4.6293255896450759E-3</v>
      </c>
      <c r="Z24" s="132">
        <f t="shared" si="20"/>
        <v>0.99537067441035487</v>
      </c>
      <c r="AA24" s="132">
        <f t="shared" si="41"/>
        <v>0.95176081370962573</v>
      </c>
      <c r="AB24" s="136">
        <f t="shared" si="21"/>
        <v>17</v>
      </c>
      <c r="AC24" s="132">
        <f t="shared" si="35"/>
        <v>642.14290318855808</v>
      </c>
      <c r="AD24" s="132"/>
      <c r="AE24" s="132"/>
      <c r="AF24" s="29">
        <f t="shared" si="22"/>
        <v>32</v>
      </c>
      <c r="AG24" s="29">
        <f t="shared" si="37"/>
        <v>16</v>
      </c>
      <c r="AH24" s="29">
        <f t="shared" si="2"/>
        <v>48</v>
      </c>
      <c r="AI24" s="134">
        <f t="shared" si="23"/>
        <v>0.16326747110666448</v>
      </c>
      <c r="AJ24" s="134">
        <f t="shared" si="3"/>
        <v>1.6205559173816922E-3</v>
      </c>
      <c r="AK24" s="132">
        <f t="shared" si="24"/>
        <v>8.1044842288169197E-4</v>
      </c>
      <c r="AL24" s="132">
        <f t="shared" si="25"/>
        <v>2.198321249381692E-3</v>
      </c>
      <c r="AM24" s="132">
        <f t="shared" si="26"/>
        <v>4.6293255896450759E-3</v>
      </c>
      <c r="AN24" s="134">
        <f t="shared" si="27"/>
        <v>0.99537067441035487</v>
      </c>
      <c r="AO24" s="134">
        <f t="shared" si="38"/>
        <v>0.95176081370962573</v>
      </c>
      <c r="AP24" s="29">
        <f t="shared" si="39"/>
        <v>17</v>
      </c>
      <c r="AQ24" s="134">
        <f t="shared" si="28"/>
        <v>642.14290318855808</v>
      </c>
      <c r="AR24" s="132"/>
      <c r="AT24" s="7">
        <f t="shared" si="29"/>
        <v>32</v>
      </c>
      <c r="AU24" s="7">
        <f t="shared" si="30"/>
        <v>16</v>
      </c>
      <c r="AV24" s="7">
        <f t="shared" si="4"/>
        <v>48</v>
      </c>
      <c r="AW24" s="44">
        <f t="shared" si="5"/>
        <v>1.6230000000000001E-3</v>
      </c>
      <c r="AX24" s="44">
        <f t="shared" si="6"/>
        <v>8.12E-4</v>
      </c>
      <c r="AY24" s="44">
        <f t="shared" si="7"/>
        <v>2.2009999999999998E-3</v>
      </c>
      <c r="AZ24" s="44">
        <f t="shared" si="31"/>
        <v>0.99537067441035487</v>
      </c>
      <c r="BB24" s="7">
        <f t="shared" si="8"/>
        <v>32</v>
      </c>
      <c r="BC24" s="7">
        <f t="shared" si="9"/>
        <v>16</v>
      </c>
      <c r="BD24" s="7">
        <f t="shared" si="10"/>
        <v>48</v>
      </c>
      <c r="BE24" s="44">
        <f t="shared" si="11"/>
        <v>1.6205559173816922E-3</v>
      </c>
      <c r="BF24" s="44">
        <f t="shared" si="12"/>
        <v>8.1044842288169197E-4</v>
      </c>
      <c r="BG24" s="44">
        <f t="shared" si="13"/>
        <v>2.198321249381692E-3</v>
      </c>
      <c r="BH24" s="44">
        <f t="shared" si="32"/>
        <v>4.6293255896450759E-3</v>
      </c>
      <c r="BI24" s="44">
        <f t="shared" si="33"/>
        <v>0.99537067441035487</v>
      </c>
      <c r="BJ24" s="44">
        <f t="shared" si="14"/>
        <v>0</v>
      </c>
    </row>
    <row r="25" spans="2:62" x14ac:dyDescent="0.25">
      <c r="B25" s="34">
        <v>19</v>
      </c>
      <c r="C25" s="41">
        <v>5.0699999999999996E-4</v>
      </c>
      <c r="E25" s="33">
        <v>19</v>
      </c>
      <c r="F25" s="38">
        <v>1.2E-5</v>
      </c>
      <c r="H25" s="33">
        <v>20</v>
      </c>
      <c r="I25" s="39">
        <v>1.0640000000000001E-3</v>
      </c>
      <c r="O25" s="7">
        <v>14</v>
      </c>
      <c r="P25" s="18">
        <v>11819.562475350824</v>
      </c>
      <c r="R25">
        <f t="shared" si="0"/>
        <v>32</v>
      </c>
      <c r="S25">
        <f t="shared" si="34"/>
        <v>17</v>
      </c>
      <c r="T25">
        <f t="shared" si="15"/>
        <v>49</v>
      </c>
      <c r="U25" s="132">
        <f t="shared" si="16"/>
        <v>0.14675727739924896</v>
      </c>
      <c r="V25" s="132">
        <f t="shared" si="1"/>
        <v>1.72724615771104E-3</v>
      </c>
      <c r="W25" s="132">
        <f t="shared" si="17"/>
        <v>8.9420067071103993E-4</v>
      </c>
      <c r="X25" s="132">
        <f t="shared" si="18"/>
        <v>2.2859957257110397E-3</v>
      </c>
      <c r="Y25" s="132">
        <f t="shared" si="19"/>
        <v>4.9074425541331193E-3</v>
      </c>
      <c r="Z25" s="132">
        <f t="shared" si="20"/>
        <v>0.99509255744586689</v>
      </c>
      <c r="AA25" s="132">
        <f t="shared" si="41"/>
        <v>0.94735480301949826</v>
      </c>
      <c r="AB25" s="136">
        <f t="shared" si="21"/>
        <v>18</v>
      </c>
      <c r="AC25" s="132">
        <f t="shared" si="35"/>
        <v>648.38104040636176</v>
      </c>
      <c r="AD25" s="132"/>
      <c r="AE25" s="132"/>
      <c r="AF25" s="29">
        <f t="shared" si="22"/>
        <v>32</v>
      </c>
      <c r="AG25" s="29">
        <f t="shared" si="37"/>
        <v>17</v>
      </c>
      <c r="AH25" s="29">
        <f t="shared" si="2"/>
        <v>49</v>
      </c>
      <c r="AI25" s="134">
        <f t="shared" si="23"/>
        <v>0.14675727739924896</v>
      </c>
      <c r="AJ25" s="134">
        <f t="shared" si="3"/>
        <v>1.72724615771104E-3</v>
      </c>
      <c r="AK25" s="132">
        <f t="shared" si="24"/>
        <v>8.9420067071103993E-4</v>
      </c>
      <c r="AL25" s="132">
        <f t="shared" si="25"/>
        <v>2.2859957257110397E-3</v>
      </c>
      <c r="AM25" s="132">
        <f t="shared" si="26"/>
        <v>4.9074425541331193E-3</v>
      </c>
      <c r="AN25" s="134">
        <f t="shared" si="27"/>
        <v>0.99509255744586689</v>
      </c>
      <c r="AO25" s="134">
        <f t="shared" si="38"/>
        <v>0.94735480301949826</v>
      </c>
      <c r="AP25" s="29">
        <f t="shared" si="39"/>
        <v>18</v>
      </c>
      <c r="AQ25" s="134">
        <f t="shared" si="28"/>
        <v>648.38104040636176</v>
      </c>
      <c r="AR25" s="132"/>
      <c r="AT25" s="7">
        <f t="shared" si="29"/>
        <v>32</v>
      </c>
      <c r="AU25" s="7">
        <f t="shared" si="30"/>
        <v>17</v>
      </c>
      <c r="AV25" s="7">
        <f t="shared" si="4"/>
        <v>49</v>
      </c>
      <c r="AW25" s="44">
        <f t="shared" si="5"/>
        <v>1.73E-3</v>
      </c>
      <c r="AX25" s="44">
        <f t="shared" si="6"/>
        <v>8.9599999999999999E-4</v>
      </c>
      <c r="AY25" s="44">
        <f t="shared" si="7"/>
        <v>2.2889999999999998E-3</v>
      </c>
      <c r="AZ25" s="44">
        <f t="shared" si="31"/>
        <v>0.99509255744586689</v>
      </c>
      <c r="BB25" s="7">
        <f t="shared" si="8"/>
        <v>32</v>
      </c>
      <c r="BC25" s="7">
        <f t="shared" si="9"/>
        <v>17</v>
      </c>
      <c r="BD25" s="7">
        <f t="shared" si="10"/>
        <v>49</v>
      </c>
      <c r="BE25" s="44">
        <f t="shared" si="11"/>
        <v>1.72724615771104E-3</v>
      </c>
      <c r="BF25" s="44">
        <f t="shared" si="12"/>
        <v>8.9420067071103993E-4</v>
      </c>
      <c r="BG25" s="44">
        <f t="shared" si="13"/>
        <v>2.2859957257110397E-3</v>
      </c>
      <c r="BH25" s="44">
        <f t="shared" si="32"/>
        <v>4.9074425541331193E-3</v>
      </c>
      <c r="BI25" s="44">
        <f t="shared" si="33"/>
        <v>0.99509255744586689</v>
      </c>
      <c r="BJ25" s="44">
        <f t="shared" si="14"/>
        <v>0</v>
      </c>
    </row>
    <row r="26" spans="2:62" x14ac:dyDescent="0.25">
      <c r="B26" s="34">
        <v>20</v>
      </c>
      <c r="C26" s="41">
        <v>5.1699999999999999E-4</v>
      </c>
      <c r="E26" s="33">
        <v>20</v>
      </c>
      <c r="F26" s="37">
        <v>1.4E-5</v>
      </c>
      <c r="H26" s="33">
        <v>21</v>
      </c>
      <c r="I26" s="40">
        <v>1.08E-3</v>
      </c>
      <c r="O26" s="7">
        <v>15</v>
      </c>
      <c r="P26" s="18">
        <v>9966.0976957007388</v>
      </c>
    </row>
    <row r="27" spans="2:62" x14ac:dyDescent="0.25">
      <c r="B27" s="34">
        <v>21</v>
      </c>
      <c r="C27" s="41">
        <v>5.2800000000000004E-4</v>
      </c>
      <c r="E27" s="33">
        <v>21</v>
      </c>
      <c r="F27" s="38">
        <v>1.8E-5</v>
      </c>
      <c r="H27" s="33">
        <v>22</v>
      </c>
      <c r="I27" s="39">
        <v>1.096E-3</v>
      </c>
      <c r="O27" s="7">
        <v>16</v>
      </c>
      <c r="P27" s="18">
        <v>7465.1503879859374</v>
      </c>
      <c r="AC27" s="17"/>
      <c r="AH27" s="137"/>
      <c r="AP27" s="137"/>
    </row>
    <row r="28" spans="2:62" x14ac:dyDescent="0.25">
      <c r="B28" s="34">
        <v>22</v>
      </c>
      <c r="C28" s="41">
        <v>5.4000000000000001E-4</v>
      </c>
      <c r="E28" s="33">
        <v>22</v>
      </c>
      <c r="F28" s="37">
        <v>2.1999999999999999E-5</v>
      </c>
      <c r="H28" s="33">
        <v>23</v>
      </c>
      <c r="I28" s="40">
        <v>1.114E-3</v>
      </c>
      <c r="O28" s="7">
        <v>17</v>
      </c>
      <c r="P28" s="18">
        <v>4191.9682029840942</v>
      </c>
      <c r="AC28" s="17"/>
    </row>
    <row r="29" spans="2:62" x14ac:dyDescent="0.25">
      <c r="B29" s="34">
        <v>23</v>
      </c>
      <c r="C29" s="41">
        <v>5.53E-4</v>
      </c>
      <c r="E29" s="33">
        <v>23</v>
      </c>
      <c r="F29" s="38">
        <v>2.6999999999999999E-5</v>
      </c>
      <c r="H29" s="33">
        <v>24</v>
      </c>
      <c r="I29" s="39">
        <v>1.132E-3</v>
      </c>
      <c r="O29" s="133">
        <v>18</v>
      </c>
      <c r="P29" s="18">
        <v>0</v>
      </c>
    </row>
    <row r="30" spans="2:62" x14ac:dyDescent="0.25">
      <c r="B30" s="34">
        <v>24</v>
      </c>
      <c r="C30" s="41">
        <v>5.6700000000000001E-4</v>
      </c>
      <c r="E30" s="33">
        <v>24</v>
      </c>
      <c r="F30" s="37">
        <v>3.3000000000000003E-5</v>
      </c>
      <c r="H30" s="33">
        <v>25</v>
      </c>
      <c r="I30" s="40">
        <v>1.152E-3</v>
      </c>
    </row>
    <row r="31" spans="2:62" x14ac:dyDescent="0.25">
      <c r="B31" s="34">
        <v>25</v>
      </c>
      <c r="C31" s="41">
        <v>5.8200000000000005E-4</v>
      </c>
      <c r="E31" s="33">
        <v>25</v>
      </c>
      <c r="F31" s="38">
        <v>4.0000000000000003E-5</v>
      </c>
      <c r="H31" s="33">
        <v>26</v>
      </c>
      <c r="I31" s="39">
        <v>1.1739999999999999E-3</v>
      </c>
    </row>
    <row r="32" spans="2:62" x14ac:dyDescent="0.25">
      <c r="B32" s="34">
        <v>26</v>
      </c>
      <c r="C32" s="41">
        <v>5.9800000000000001E-4</v>
      </c>
      <c r="E32" s="33">
        <v>26</v>
      </c>
      <c r="F32" s="37">
        <v>4.6999999999999997E-5</v>
      </c>
      <c r="H32" s="33">
        <v>27</v>
      </c>
      <c r="I32" s="40">
        <v>1.1969999999999999E-3</v>
      </c>
    </row>
    <row r="33" spans="2:9" x14ac:dyDescent="0.25">
      <c r="B33" s="34">
        <v>27</v>
      </c>
      <c r="C33" s="41">
        <v>6.1600000000000001E-4</v>
      </c>
      <c r="E33" s="33">
        <v>27</v>
      </c>
      <c r="F33" s="38">
        <v>5.5999999999999999E-5</v>
      </c>
      <c r="H33" s="33">
        <v>28</v>
      </c>
      <c r="I33" s="39">
        <v>1.2210000000000001E-3</v>
      </c>
    </row>
    <row r="34" spans="2:9" x14ac:dyDescent="0.25">
      <c r="B34" s="34">
        <v>28</v>
      </c>
      <c r="C34" s="41">
        <v>6.3500000000000004E-4</v>
      </c>
      <c r="E34" s="33">
        <v>28</v>
      </c>
      <c r="F34" s="37">
        <v>6.6000000000000005E-5</v>
      </c>
      <c r="H34" s="33">
        <v>29</v>
      </c>
      <c r="I34" s="40">
        <v>1.2470000000000001E-3</v>
      </c>
    </row>
    <row r="35" spans="2:9" x14ac:dyDescent="0.25">
      <c r="B35" s="34">
        <v>29</v>
      </c>
      <c r="C35" s="41">
        <v>6.5600000000000001E-4</v>
      </c>
      <c r="E35" s="33">
        <v>29</v>
      </c>
      <c r="F35" s="38">
        <v>7.7999999999999999E-5</v>
      </c>
      <c r="H35" s="33">
        <v>30</v>
      </c>
      <c r="I35" s="39">
        <v>1.274E-3</v>
      </c>
    </row>
    <row r="36" spans="2:9" x14ac:dyDescent="0.25">
      <c r="B36" s="34">
        <v>30</v>
      </c>
      <c r="C36" s="41">
        <v>6.78E-4</v>
      </c>
      <c r="E36" s="33">
        <v>30</v>
      </c>
      <c r="F36" s="37">
        <v>9.1000000000000003E-5</v>
      </c>
      <c r="H36" s="33">
        <v>31</v>
      </c>
      <c r="I36" s="40">
        <v>1.304E-3</v>
      </c>
    </row>
    <row r="37" spans="2:9" x14ac:dyDescent="0.25">
      <c r="B37" s="34">
        <v>31</v>
      </c>
      <c r="C37" s="41">
        <v>7.0299999999999996E-4</v>
      </c>
      <c r="E37" s="33">
        <v>31</v>
      </c>
      <c r="F37" s="38">
        <v>1.06E-4</v>
      </c>
      <c r="H37" s="33">
        <v>32</v>
      </c>
      <c r="I37" s="39">
        <v>1.335E-3</v>
      </c>
    </row>
    <row r="38" spans="2:9" x14ac:dyDescent="0.25">
      <c r="B38" s="34">
        <v>32</v>
      </c>
      <c r="C38" s="41">
        <v>7.2900000000000005E-4</v>
      </c>
      <c r="E38" s="33">
        <v>32</v>
      </c>
      <c r="F38" s="37">
        <v>1.22E-4</v>
      </c>
      <c r="H38" s="33">
        <v>33</v>
      </c>
      <c r="I38" s="40">
        <v>1.3680000000000001E-3</v>
      </c>
    </row>
    <row r="39" spans="2:9" x14ac:dyDescent="0.25">
      <c r="B39" s="34">
        <v>33</v>
      </c>
      <c r="C39" s="41">
        <v>7.5699999999999997E-4</v>
      </c>
      <c r="E39" s="33">
        <v>33</v>
      </c>
      <c r="F39" s="38">
        <v>1.4100000000000001E-4</v>
      </c>
      <c r="H39" s="33">
        <v>34</v>
      </c>
      <c r="I39" s="39">
        <v>1.403E-3</v>
      </c>
    </row>
    <row r="40" spans="2:9" x14ac:dyDescent="0.25">
      <c r="B40" s="34">
        <v>34</v>
      </c>
      <c r="C40" s="41">
        <v>7.8799999999999996E-4</v>
      </c>
      <c r="E40" s="33">
        <v>34</v>
      </c>
      <c r="F40" s="37">
        <v>1.6200000000000001E-4</v>
      </c>
      <c r="H40" s="33">
        <v>35</v>
      </c>
      <c r="I40" s="40">
        <v>1.4400000000000001E-3</v>
      </c>
    </row>
    <row r="41" spans="2:9" x14ac:dyDescent="0.25">
      <c r="B41" s="34">
        <v>35</v>
      </c>
      <c r="C41" s="41">
        <v>8.2100000000000001E-4</v>
      </c>
      <c r="E41" s="33">
        <v>35</v>
      </c>
      <c r="F41" s="38">
        <v>1.85E-4</v>
      </c>
      <c r="H41" s="33">
        <v>36</v>
      </c>
      <c r="I41" s="39">
        <v>1.48E-3</v>
      </c>
    </row>
    <row r="42" spans="2:9" x14ac:dyDescent="0.25">
      <c r="B42" s="34">
        <v>36</v>
      </c>
      <c r="C42" s="41">
        <v>8.5700000000000001E-4</v>
      </c>
      <c r="E42" s="33">
        <v>36</v>
      </c>
      <c r="F42" s="37">
        <v>2.1100000000000001E-4</v>
      </c>
      <c r="H42" s="33">
        <v>37</v>
      </c>
      <c r="I42" s="39">
        <v>1.5219999999999999E-3</v>
      </c>
    </row>
    <row r="43" spans="2:9" x14ac:dyDescent="0.25">
      <c r="B43" s="34">
        <v>37</v>
      </c>
      <c r="C43" s="41">
        <v>8.9599999999999999E-4</v>
      </c>
      <c r="E43" s="33">
        <v>37</v>
      </c>
      <c r="F43" s="37">
        <v>2.4000000000000001E-4</v>
      </c>
      <c r="H43" s="33">
        <v>38</v>
      </c>
      <c r="I43" s="40">
        <v>1.567E-3</v>
      </c>
    </row>
    <row r="44" spans="2:9" x14ac:dyDescent="0.25">
      <c r="B44" s="34">
        <v>38</v>
      </c>
      <c r="C44" s="41">
        <v>9.3800000000000003E-4</v>
      </c>
      <c r="E44" s="33">
        <v>38</v>
      </c>
      <c r="F44" s="38">
        <v>2.72E-4</v>
      </c>
      <c r="H44" s="33">
        <v>39</v>
      </c>
      <c r="I44" s="39">
        <v>1.614E-3</v>
      </c>
    </row>
    <row r="45" spans="2:9" x14ac:dyDescent="0.25">
      <c r="B45" s="34">
        <v>39</v>
      </c>
      <c r="C45" s="41">
        <v>9.8299999999999993E-4</v>
      </c>
      <c r="E45" s="33">
        <v>39</v>
      </c>
      <c r="F45" s="37">
        <v>3.0600000000000001E-4</v>
      </c>
      <c r="H45" s="33">
        <v>40</v>
      </c>
      <c r="I45" s="40">
        <v>1.6639999999999999E-3</v>
      </c>
    </row>
    <row r="46" spans="2:9" x14ac:dyDescent="0.25">
      <c r="B46" s="34">
        <v>40</v>
      </c>
      <c r="C46" s="41">
        <v>1.0330000000000001E-3</v>
      </c>
      <c r="E46" s="33">
        <v>40</v>
      </c>
      <c r="F46" s="38">
        <v>3.4499999999999998E-4</v>
      </c>
      <c r="H46" s="33">
        <v>41</v>
      </c>
      <c r="I46" s="39">
        <v>1.7179999999999999E-3</v>
      </c>
    </row>
    <row r="47" spans="2:9" x14ac:dyDescent="0.25">
      <c r="B47" s="34">
        <v>41</v>
      </c>
      <c r="C47" s="41">
        <v>1.0870000000000001E-3</v>
      </c>
      <c r="E47" s="33">
        <v>41</v>
      </c>
      <c r="F47" s="37">
        <v>3.8699999999999997E-4</v>
      </c>
      <c r="H47" s="33">
        <v>42</v>
      </c>
      <c r="I47" s="40">
        <v>1.7750000000000001E-3</v>
      </c>
    </row>
    <row r="48" spans="2:9" x14ac:dyDescent="0.25">
      <c r="B48" s="34">
        <v>42</v>
      </c>
      <c r="C48" s="41">
        <v>1.145E-3</v>
      </c>
      <c r="E48" s="33">
        <v>42</v>
      </c>
      <c r="F48" s="38">
        <v>4.3300000000000001E-4</v>
      </c>
      <c r="H48" s="33">
        <v>43</v>
      </c>
      <c r="I48" s="39">
        <v>1.835E-3</v>
      </c>
    </row>
    <row r="49" spans="2:9" x14ac:dyDescent="0.25">
      <c r="B49" s="34">
        <v>43</v>
      </c>
      <c r="C49" s="41">
        <v>1.2080000000000001E-3</v>
      </c>
      <c r="E49" s="33">
        <v>43</v>
      </c>
      <c r="F49" s="37">
        <v>4.84E-4</v>
      </c>
      <c r="H49" s="33">
        <v>44</v>
      </c>
      <c r="I49" s="40">
        <v>1.9E-3</v>
      </c>
    </row>
    <row r="50" spans="2:9" x14ac:dyDescent="0.25">
      <c r="B50" s="34">
        <v>44</v>
      </c>
      <c r="C50" s="41">
        <v>1.2780000000000001E-3</v>
      </c>
      <c r="E50" s="33">
        <v>44</v>
      </c>
      <c r="F50" s="38">
        <v>5.3899999999999998E-4</v>
      </c>
      <c r="H50" s="33">
        <v>45</v>
      </c>
      <c r="I50" s="39">
        <v>1.9680000000000001E-3</v>
      </c>
    </row>
    <row r="51" spans="2:9" x14ac:dyDescent="0.25">
      <c r="B51" s="34">
        <v>45</v>
      </c>
      <c r="C51" s="41">
        <v>1.353E-3</v>
      </c>
      <c r="E51" s="33">
        <v>45</v>
      </c>
      <c r="F51" s="37">
        <v>5.9900000000000003E-4</v>
      </c>
      <c r="H51" s="33">
        <v>46</v>
      </c>
      <c r="I51" s="40">
        <v>2.0409999999999998E-3</v>
      </c>
    </row>
    <row r="52" spans="2:9" x14ac:dyDescent="0.25">
      <c r="B52" s="34">
        <v>46</v>
      </c>
      <c r="C52" s="41">
        <v>1.4350000000000001E-3</v>
      </c>
      <c r="E52" s="33">
        <v>46</v>
      </c>
      <c r="F52" s="38">
        <v>6.6500000000000001E-4</v>
      </c>
      <c r="H52" s="33">
        <v>47</v>
      </c>
      <c r="I52" s="39">
        <v>2.1180000000000001E-3</v>
      </c>
    </row>
    <row r="53" spans="2:9" x14ac:dyDescent="0.25">
      <c r="B53" s="34">
        <v>47</v>
      </c>
      <c r="C53" s="41">
        <v>1.5250000000000001E-3</v>
      </c>
      <c r="E53" s="33">
        <v>47</v>
      </c>
      <c r="F53" s="37">
        <v>7.36E-4</v>
      </c>
      <c r="H53" s="33">
        <v>48</v>
      </c>
      <c r="I53" s="40">
        <v>2.2009999999999998E-3</v>
      </c>
    </row>
    <row r="54" spans="2:9" x14ac:dyDescent="0.25">
      <c r="B54" s="34">
        <v>48</v>
      </c>
      <c r="C54" s="41">
        <v>1.6230000000000001E-3</v>
      </c>
      <c r="E54" s="33">
        <v>48</v>
      </c>
      <c r="F54" s="38">
        <v>8.12E-4</v>
      </c>
      <c r="H54" s="33">
        <v>49</v>
      </c>
      <c r="I54" s="39">
        <v>2.2889999999999998E-3</v>
      </c>
    </row>
    <row r="55" spans="2:9" x14ac:dyDescent="0.25">
      <c r="B55" s="34">
        <v>49</v>
      </c>
      <c r="C55" s="41">
        <v>1.73E-3</v>
      </c>
      <c r="E55" s="33">
        <v>49</v>
      </c>
      <c r="F55" s="37">
        <v>8.9599999999999999E-4</v>
      </c>
      <c r="H55" s="33">
        <v>50</v>
      </c>
      <c r="I55" s="40">
        <v>2.382E-3</v>
      </c>
    </row>
    <row r="56" spans="2:9" x14ac:dyDescent="0.25">
      <c r="B56" s="34">
        <v>50</v>
      </c>
      <c r="C56" s="41">
        <v>1.848E-3</v>
      </c>
      <c r="E56" s="33">
        <v>50</v>
      </c>
      <c r="F56" s="38">
        <v>9.8499999999999998E-4</v>
      </c>
      <c r="H56" s="33">
        <v>51</v>
      </c>
      <c r="I56" s="39">
        <v>2.4819999999999998E-3</v>
      </c>
    </row>
    <row r="57" spans="2:9" x14ac:dyDescent="0.25">
      <c r="B57" s="34">
        <v>51</v>
      </c>
      <c r="C57" s="41">
        <v>1.977E-3</v>
      </c>
      <c r="E57" s="33">
        <v>51</v>
      </c>
      <c r="F57" s="37">
        <v>1.0820000000000001E-3</v>
      </c>
      <c r="H57" s="33">
        <v>52</v>
      </c>
      <c r="I57" s="40">
        <v>2.588E-3</v>
      </c>
    </row>
    <row r="58" spans="2:9" x14ac:dyDescent="0.25">
      <c r="B58" s="34">
        <v>52</v>
      </c>
      <c r="C58" s="41">
        <v>2.1189999999999998E-3</v>
      </c>
      <c r="E58" s="33">
        <v>52</v>
      </c>
      <c r="F58" s="38">
        <v>1.1869999999999999E-3</v>
      </c>
      <c r="H58" s="33">
        <v>53</v>
      </c>
      <c r="I58" s="39">
        <v>2.702E-3</v>
      </c>
    </row>
    <row r="59" spans="2:9" x14ac:dyDescent="0.25">
      <c r="B59" s="34">
        <v>53</v>
      </c>
      <c r="C59" s="41">
        <v>2.274E-3</v>
      </c>
      <c r="E59" s="33">
        <v>53</v>
      </c>
      <c r="F59" s="37">
        <v>1.299E-3</v>
      </c>
      <c r="H59" s="33">
        <v>54</v>
      </c>
      <c r="I59" s="40">
        <v>2.823E-3</v>
      </c>
    </row>
    <row r="60" spans="2:9" x14ac:dyDescent="0.25">
      <c r="B60" s="34">
        <v>54</v>
      </c>
      <c r="C60" s="41">
        <v>2.4459999999999998E-3</v>
      </c>
      <c r="E60" s="33">
        <v>54</v>
      </c>
      <c r="F60" s="38">
        <v>1.42E-3</v>
      </c>
      <c r="H60" s="33">
        <v>55</v>
      </c>
      <c r="I60" s="39">
        <v>2.9529999999999999E-3</v>
      </c>
    </row>
    <row r="61" spans="2:9" x14ac:dyDescent="0.25">
      <c r="B61" s="34">
        <v>55</v>
      </c>
      <c r="C61" s="41">
        <v>2.6350000000000002E-3</v>
      </c>
      <c r="E61" s="33">
        <v>55</v>
      </c>
      <c r="F61" s="37">
        <v>1.549E-3</v>
      </c>
      <c r="H61" s="33">
        <v>56</v>
      </c>
      <c r="I61" s="40">
        <v>3.091E-3</v>
      </c>
    </row>
    <row r="62" spans="2:9" x14ac:dyDescent="0.25">
      <c r="B62" s="34">
        <v>56</v>
      </c>
      <c r="C62" s="41">
        <v>2.8440000000000002E-3</v>
      </c>
      <c r="E62" s="33">
        <v>56</v>
      </c>
      <c r="F62" s="38">
        <v>1.688E-3</v>
      </c>
      <c r="H62" s="33">
        <v>57</v>
      </c>
      <c r="I62" s="39">
        <v>3.2390000000000001E-3</v>
      </c>
    </row>
    <row r="63" spans="2:9" x14ac:dyDescent="0.25">
      <c r="B63" s="34">
        <v>57</v>
      </c>
      <c r="C63" s="41">
        <v>3.0739999999999999E-3</v>
      </c>
      <c r="E63" s="33">
        <v>57</v>
      </c>
      <c r="F63" s="37">
        <v>1.8370000000000001E-3</v>
      </c>
      <c r="H63" s="33">
        <v>58</v>
      </c>
      <c r="I63" s="40">
        <v>3.398E-3</v>
      </c>
    </row>
    <row r="64" spans="2:9" x14ac:dyDescent="0.25">
      <c r="B64" s="34">
        <v>58</v>
      </c>
      <c r="C64" s="41">
        <v>3.3289999999999999E-3</v>
      </c>
      <c r="E64" s="33">
        <v>58</v>
      </c>
      <c r="F64" s="38">
        <v>1.9959999999999999E-3</v>
      </c>
      <c r="H64" s="33">
        <v>59</v>
      </c>
      <c r="I64" s="39">
        <v>3.5669999999999999E-3</v>
      </c>
    </row>
    <row r="65" spans="2:9" x14ac:dyDescent="0.25">
      <c r="B65" s="34">
        <v>59</v>
      </c>
      <c r="C65" s="41">
        <v>3.6120000000000002E-3</v>
      </c>
      <c r="E65" s="33">
        <v>59</v>
      </c>
      <c r="F65" s="37">
        <v>2.166E-3</v>
      </c>
      <c r="H65" s="33">
        <v>60</v>
      </c>
      <c r="I65" s="40">
        <v>3.7490000000000002E-3</v>
      </c>
    </row>
    <row r="66" spans="2:9" x14ac:dyDescent="0.25">
      <c r="B66" s="34">
        <v>60</v>
      </c>
      <c r="C66" s="41">
        <v>3.9259999999999998E-3</v>
      </c>
      <c r="E66" s="33">
        <v>60</v>
      </c>
      <c r="F66" s="38">
        <v>2.3470000000000001E-3</v>
      </c>
      <c r="H66" s="33">
        <v>61</v>
      </c>
      <c r="I66" s="39">
        <v>3.9439999999999996E-3</v>
      </c>
    </row>
    <row r="67" spans="2:9" x14ac:dyDescent="0.25">
      <c r="B67" s="34">
        <v>61</v>
      </c>
      <c r="C67" s="41">
        <v>4.2750000000000002E-3</v>
      </c>
      <c r="E67" s="33">
        <v>61</v>
      </c>
      <c r="F67" s="37">
        <v>2.5400000000000002E-3</v>
      </c>
      <c r="H67" s="33">
        <v>62</v>
      </c>
      <c r="I67" s="40">
        <v>4.1529999999999996E-3</v>
      </c>
    </row>
    <row r="68" spans="2:9" x14ac:dyDescent="0.25">
      <c r="B68" s="34">
        <v>62</v>
      </c>
      <c r="C68" s="41">
        <v>4.6639999999999997E-3</v>
      </c>
      <c r="E68" s="33">
        <v>62</v>
      </c>
      <c r="F68" s="38">
        <v>2.7460000000000002E-3</v>
      </c>
      <c r="H68" s="33">
        <v>63</v>
      </c>
      <c r="I68" s="39">
        <v>4.3769999999999998E-3</v>
      </c>
    </row>
    <row r="69" spans="2:9" x14ac:dyDescent="0.25">
      <c r="B69" s="34">
        <v>63</v>
      </c>
      <c r="C69" s="41">
        <v>5.0959999999999998E-3</v>
      </c>
      <c r="E69" s="33">
        <v>63</v>
      </c>
      <c r="F69" s="37">
        <v>2.9650000000000002E-3</v>
      </c>
      <c r="H69" s="33">
        <v>64</v>
      </c>
      <c r="I69" s="40">
        <v>4.6179999999999997E-3</v>
      </c>
    </row>
    <row r="70" spans="2:9" x14ac:dyDescent="0.25">
      <c r="B70" s="34">
        <v>64</v>
      </c>
      <c r="C70" s="41">
        <v>5.5789999999999998E-3</v>
      </c>
      <c r="E70" s="33">
        <v>64</v>
      </c>
      <c r="F70" s="38">
        <v>3.1970000000000002E-3</v>
      </c>
      <c r="H70" s="33">
        <v>65</v>
      </c>
      <c r="I70" s="39">
        <v>4.8770000000000003E-3</v>
      </c>
    </row>
    <row r="71" spans="2:9" x14ac:dyDescent="0.25">
      <c r="B71" s="34">
        <v>65</v>
      </c>
      <c r="C71" s="41">
        <v>6.1190000000000003E-3</v>
      </c>
      <c r="E71" s="33">
        <v>65</v>
      </c>
      <c r="F71" s="37">
        <v>3.4450000000000001E-3</v>
      </c>
      <c r="H71" s="33">
        <v>66</v>
      </c>
      <c r="I71" s="40">
        <v>5.156E-3</v>
      </c>
    </row>
    <row r="72" spans="2:9" x14ac:dyDescent="0.25">
      <c r="B72" s="34">
        <v>66</v>
      </c>
      <c r="C72" s="41">
        <v>6.7229999999999998E-3</v>
      </c>
      <c r="E72" s="33">
        <v>66</v>
      </c>
      <c r="F72" s="38">
        <v>3.7069999999999998E-3</v>
      </c>
      <c r="H72" s="33">
        <v>67</v>
      </c>
      <c r="I72" s="39">
        <v>5.4559999999999999E-3</v>
      </c>
    </row>
    <row r="73" spans="2:9" x14ac:dyDescent="0.25">
      <c r="B73" s="34">
        <v>67</v>
      </c>
      <c r="C73" s="41">
        <v>7.4000000000000003E-3</v>
      </c>
      <c r="E73" s="33">
        <v>67</v>
      </c>
      <c r="F73" s="37">
        <v>3.9849999999999998E-3</v>
      </c>
      <c r="H73" s="33">
        <v>68</v>
      </c>
      <c r="I73" s="40">
        <v>5.7790000000000003E-3</v>
      </c>
    </row>
    <row r="74" spans="2:9" x14ac:dyDescent="0.25">
      <c r="B74" s="34">
        <v>68</v>
      </c>
      <c r="C74" s="41">
        <v>8.1600000000000006E-3</v>
      </c>
      <c r="E74" s="33">
        <v>68</v>
      </c>
      <c r="F74" s="38">
        <v>4.2789999999999998E-3</v>
      </c>
      <c r="H74" s="33">
        <v>69</v>
      </c>
      <c r="I74" s="39">
        <v>6.1269999999999996E-3</v>
      </c>
    </row>
    <row r="75" spans="2:9" x14ac:dyDescent="0.25">
      <c r="B75" s="34">
        <v>69</v>
      </c>
      <c r="C75" s="41">
        <v>9.0150000000000004E-3</v>
      </c>
      <c r="E75" s="33">
        <v>69</v>
      </c>
      <c r="F75" s="37">
        <v>4.5900000000000003E-3</v>
      </c>
      <c r="H75" s="33">
        <v>70</v>
      </c>
      <c r="I75" s="40">
        <v>6.5030000000000001E-3</v>
      </c>
    </row>
    <row r="76" spans="2:9" x14ac:dyDescent="0.25">
      <c r="B76" s="34">
        <v>70</v>
      </c>
      <c r="C76" s="41">
        <v>9.9769999999999998E-3</v>
      </c>
      <c r="E76" s="33">
        <v>70</v>
      </c>
      <c r="F76" s="38">
        <v>4.9199999999999999E-3</v>
      </c>
      <c r="H76" s="33">
        <v>71</v>
      </c>
      <c r="I76" s="39">
        <v>6.9080000000000001E-3</v>
      </c>
    </row>
    <row r="77" spans="2:9" x14ac:dyDescent="0.25">
      <c r="B77" s="34">
        <v>71</v>
      </c>
      <c r="C77" s="41">
        <v>1.1061E-2</v>
      </c>
      <c r="E77" s="33">
        <v>71</v>
      </c>
      <c r="F77" s="37">
        <v>5.2680000000000001E-3</v>
      </c>
      <c r="H77" s="33">
        <v>72</v>
      </c>
      <c r="I77" s="40">
        <v>7.3460000000000001E-3</v>
      </c>
    </row>
    <row r="78" spans="2:9" x14ac:dyDescent="0.25">
      <c r="B78" s="34">
        <v>72</v>
      </c>
      <c r="C78" s="41">
        <v>1.2285000000000001E-2</v>
      </c>
      <c r="E78" s="33">
        <v>72</v>
      </c>
      <c r="F78" s="38">
        <v>5.6350000000000003E-3</v>
      </c>
      <c r="H78" s="33">
        <v>73</v>
      </c>
      <c r="I78" s="39">
        <v>7.8189999999999996E-3</v>
      </c>
    </row>
    <row r="79" spans="2:9" x14ac:dyDescent="0.25">
      <c r="B79" s="34">
        <v>73</v>
      </c>
      <c r="C79" s="41">
        <v>1.3668E-2</v>
      </c>
      <c r="E79" s="33">
        <v>73</v>
      </c>
      <c r="F79" s="37">
        <v>6.0229999999999997E-3</v>
      </c>
      <c r="H79" s="33">
        <v>74</v>
      </c>
      <c r="I79" s="39">
        <v>8.3309999999999999E-3</v>
      </c>
    </row>
    <row r="80" spans="2:9" x14ac:dyDescent="0.25">
      <c r="B80" s="34">
        <v>74</v>
      </c>
      <c r="C80" s="41">
        <v>1.5235E-2</v>
      </c>
      <c r="E80" s="33">
        <v>74</v>
      </c>
      <c r="F80" s="37">
        <v>6.4320000000000002E-3</v>
      </c>
      <c r="H80" s="33">
        <v>75</v>
      </c>
      <c r="I80" s="40">
        <v>8.8850000000000005E-3</v>
      </c>
    </row>
    <row r="81" spans="2:9" x14ac:dyDescent="0.25">
      <c r="B81" s="34">
        <v>75</v>
      </c>
      <c r="C81" s="41">
        <v>1.7009E-2</v>
      </c>
      <c r="E81" s="33">
        <v>75</v>
      </c>
      <c r="F81" s="38">
        <v>6.862E-3</v>
      </c>
      <c r="H81" s="33">
        <v>76</v>
      </c>
      <c r="I81" s="39">
        <v>9.4859999999999996E-3</v>
      </c>
    </row>
    <row r="82" spans="2:9" x14ac:dyDescent="0.25">
      <c r="B82" s="34">
        <v>76</v>
      </c>
      <c r="C82" s="41">
        <v>1.9023999999999999E-2</v>
      </c>
      <c r="E82" s="33">
        <v>76</v>
      </c>
      <c r="F82" s="37">
        <v>7.3159999999999996E-3</v>
      </c>
      <c r="H82" s="33">
        <v>77</v>
      </c>
      <c r="I82" s="40">
        <v>1.0137E-2</v>
      </c>
    </row>
    <row r="83" spans="2:9" x14ac:dyDescent="0.25">
      <c r="B83" s="34">
        <v>77</v>
      </c>
      <c r="C83" s="41">
        <v>2.1312000000000001E-2</v>
      </c>
      <c r="E83" s="33">
        <v>77</v>
      </c>
      <c r="F83" s="38">
        <v>7.7929999999999996E-3</v>
      </c>
      <c r="H83" s="33">
        <v>78</v>
      </c>
      <c r="I83" s="39">
        <v>1.0843E-2</v>
      </c>
    </row>
    <row r="84" spans="2:9" x14ac:dyDescent="0.25">
      <c r="B84" s="34">
        <v>78</v>
      </c>
      <c r="C84" s="41">
        <v>2.3914999999999999E-2</v>
      </c>
      <c r="E84" s="33">
        <v>78</v>
      </c>
      <c r="F84" s="37">
        <v>8.2939999999999993E-3</v>
      </c>
      <c r="H84" s="33">
        <v>79</v>
      </c>
      <c r="I84" s="40">
        <v>1.1609E-2</v>
      </c>
    </row>
    <row r="85" spans="2:9" x14ac:dyDescent="0.25">
      <c r="B85" s="34">
        <v>79</v>
      </c>
      <c r="C85" s="41">
        <v>2.6879E-2</v>
      </c>
      <c r="E85" s="33">
        <v>79</v>
      </c>
      <c r="F85" s="38">
        <v>8.8210000000000007E-3</v>
      </c>
      <c r="H85" s="33">
        <v>80</v>
      </c>
      <c r="I85" s="39">
        <v>1.2442E-2</v>
      </c>
    </row>
    <row r="86" spans="2:9" x14ac:dyDescent="0.25">
      <c r="B86" s="34">
        <v>80</v>
      </c>
      <c r="C86" s="41">
        <v>3.0256999999999999E-2</v>
      </c>
      <c r="E86" s="33">
        <v>80</v>
      </c>
      <c r="F86" s="37">
        <v>9.3740000000000004E-3</v>
      </c>
      <c r="H86" s="33">
        <v>81</v>
      </c>
      <c r="I86" s="40">
        <v>1.3346999999999999E-2</v>
      </c>
    </row>
    <row r="87" spans="2:9" x14ac:dyDescent="0.25">
      <c r="B87" s="34">
        <v>81</v>
      </c>
      <c r="C87" s="41">
        <v>3.4110000000000001E-2</v>
      </c>
      <c r="E87" s="33">
        <v>81</v>
      </c>
      <c r="F87" s="38">
        <v>9.9550000000000003E-3</v>
      </c>
      <c r="H87" s="33">
        <v>82</v>
      </c>
      <c r="I87" s="39">
        <v>1.4331999999999999E-2</v>
      </c>
    </row>
    <row r="88" spans="2:9" x14ac:dyDescent="0.25">
      <c r="B88" s="34">
        <v>82</v>
      </c>
      <c r="C88" s="41">
        <v>3.8509000000000002E-2</v>
      </c>
      <c r="E88" s="33">
        <v>82</v>
      </c>
      <c r="F88" s="37">
        <v>1.0562999999999999E-2</v>
      </c>
      <c r="H88" s="33">
        <v>83</v>
      </c>
      <c r="I88" s="40">
        <v>1.5403999999999999E-2</v>
      </c>
    </row>
    <row r="89" spans="2:9" x14ac:dyDescent="0.25">
      <c r="B89" s="34">
        <v>83</v>
      </c>
      <c r="C89" s="41">
        <v>4.3533000000000002E-2</v>
      </c>
      <c r="E89" s="33">
        <v>83</v>
      </c>
      <c r="F89" s="38">
        <v>1.1200999999999999E-2</v>
      </c>
      <c r="H89" s="33">
        <v>84</v>
      </c>
      <c r="I89" s="39">
        <v>1.6573000000000001E-2</v>
      </c>
    </row>
    <row r="90" spans="2:9" x14ac:dyDescent="0.25">
      <c r="B90" s="34">
        <v>84</v>
      </c>
      <c r="C90" s="41">
        <v>4.9273999999999998E-2</v>
      </c>
      <c r="E90" s="33">
        <v>84</v>
      </c>
      <c r="F90" s="37">
        <v>1.187E-2</v>
      </c>
      <c r="H90" s="33">
        <v>85</v>
      </c>
      <c r="I90" s="40">
        <v>1.7846000000000001E-2</v>
      </c>
    </row>
    <row r="91" spans="2:9" x14ac:dyDescent="0.25">
      <c r="B91" s="34">
        <v>85</v>
      </c>
      <c r="C91" s="41">
        <v>5.5833000000000001E-2</v>
      </c>
      <c r="E91" s="33">
        <v>85</v>
      </c>
      <c r="F91" s="38">
        <v>1.2569E-2</v>
      </c>
      <c r="H91" s="33">
        <v>86</v>
      </c>
      <c r="I91" s="39">
        <v>1.9234999999999999E-2</v>
      </c>
    </row>
    <row r="92" spans="2:9" x14ac:dyDescent="0.25">
      <c r="B92" s="34">
        <v>86</v>
      </c>
      <c r="C92" s="41">
        <v>6.3328999999999996E-2</v>
      </c>
      <c r="E92" s="33">
        <v>86</v>
      </c>
      <c r="F92" s="37">
        <v>1.3301E-2</v>
      </c>
      <c r="H92" s="33">
        <v>87</v>
      </c>
      <c r="I92" s="40">
        <v>2.0752E-2</v>
      </c>
    </row>
    <row r="93" spans="2:9" x14ac:dyDescent="0.25">
      <c r="B93" s="34">
        <v>87</v>
      </c>
      <c r="C93" s="41">
        <v>7.1888999999999995E-2</v>
      </c>
      <c r="E93" s="33">
        <v>87</v>
      </c>
      <c r="F93" s="38">
        <v>1.4066E-2</v>
      </c>
      <c r="H93" s="33">
        <v>88</v>
      </c>
      <c r="I93" s="39">
        <v>2.2408000000000001E-2</v>
      </c>
    </row>
    <row r="94" spans="2:9" x14ac:dyDescent="0.25">
      <c r="B94" s="34">
        <v>88</v>
      </c>
      <c r="C94" s="41">
        <v>8.1659999999999996E-2</v>
      </c>
      <c r="E94" s="33">
        <v>88</v>
      </c>
      <c r="F94" s="37">
        <v>1.4866000000000001E-2</v>
      </c>
      <c r="H94" s="33">
        <v>89</v>
      </c>
      <c r="I94" s="40">
        <v>2.4218E-2</v>
      </c>
    </row>
    <row r="95" spans="2:9" x14ac:dyDescent="0.25">
      <c r="B95" s="34">
        <v>89</v>
      </c>
      <c r="C95" s="41">
        <v>9.2798000000000005E-2</v>
      </c>
      <c r="E95" s="33">
        <v>89</v>
      </c>
      <c r="F95" s="38">
        <v>1.5701E-2</v>
      </c>
      <c r="H95" s="33">
        <v>90</v>
      </c>
      <c r="I95" s="39">
        <v>2.6197999999999999E-2</v>
      </c>
    </row>
    <row r="96" spans="2:9" x14ac:dyDescent="0.25">
      <c r="B96" s="34">
        <v>90</v>
      </c>
      <c r="C96" s="41">
        <v>0.105476</v>
      </c>
      <c r="E96" s="33">
        <v>90</v>
      </c>
      <c r="F96" s="37">
        <v>1.6573000000000001E-2</v>
      </c>
      <c r="H96" s="33">
        <v>91</v>
      </c>
      <c r="I96" s="40">
        <v>2.8364E-2</v>
      </c>
    </row>
    <row r="97" spans="2:9" x14ac:dyDescent="0.25">
      <c r="B97" s="34">
        <v>91</v>
      </c>
      <c r="C97" s="41">
        <v>0.119875</v>
      </c>
      <c r="E97" s="33">
        <v>91</v>
      </c>
      <c r="F97" s="38">
        <v>1.7482999999999999E-2</v>
      </c>
      <c r="H97" s="33">
        <v>92</v>
      </c>
      <c r="I97" s="39">
        <v>3.0734000000000001E-2</v>
      </c>
    </row>
    <row r="98" spans="2:9" x14ac:dyDescent="0.25">
      <c r="B98" s="34">
        <v>92</v>
      </c>
      <c r="C98" s="41">
        <v>0.136184</v>
      </c>
      <c r="E98" s="33">
        <v>92</v>
      </c>
      <c r="F98" s="37">
        <v>1.8432E-2</v>
      </c>
      <c r="H98" s="33">
        <v>93</v>
      </c>
      <c r="I98" s="40">
        <v>3.3331E-2</v>
      </c>
    </row>
    <row r="99" spans="2:9" x14ac:dyDescent="0.25">
      <c r="B99" s="34">
        <v>93</v>
      </c>
      <c r="C99" s="41">
        <v>0.15459400000000001</v>
      </c>
      <c r="E99" s="33">
        <v>93</v>
      </c>
      <c r="F99" s="38">
        <v>1.9421000000000001E-2</v>
      </c>
      <c r="H99" s="33">
        <v>94</v>
      </c>
      <c r="I99" s="39">
        <v>3.6176E-2</v>
      </c>
    </row>
    <row r="100" spans="2:9" x14ac:dyDescent="0.25">
      <c r="B100" s="34">
        <v>94</v>
      </c>
      <c r="C100" s="41">
        <v>0.175291</v>
      </c>
      <c r="E100" s="33">
        <v>94</v>
      </c>
      <c r="F100" s="37">
        <v>2.0451E-2</v>
      </c>
      <c r="H100" s="33">
        <v>95</v>
      </c>
      <c r="I100" s="40">
        <v>3.9294000000000003E-2</v>
      </c>
    </row>
    <row r="101" spans="2:9" x14ac:dyDescent="0.25">
      <c r="B101" s="34">
        <v>95</v>
      </c>
      <c r="C101" s="41">
        <v>0.19844100000000001</v>
      </c>
      <c r="E101" s="33">
        <v>95</v>
      </c>
      <c r="F101" s="38">
        <v>2.1523E-2</v>
      </c>
      <c r="H101" s="33">
        <v>96</v>
      </c>
      <c r="I101" s="39">
        <v>4.2712E-2</v>
      </c>
    </row>
    <row r="102" spans="2:9" x14ac:dyDescent="0.25">
      <c r="B102" s="34">
        <v>96</v>
      </c>
      <c r="C102" s="41">
        <v>0.22418399999999999</v>
      </c>
      <c r="E102" s="33">
        <v>96</v>
      </c>
      <c r="F102" s="37">
        <v>2.2638999999999999E-2</v>
      </c>
      <c r="H102" s="33">
        <v>97</v>
      </c>
      <c r="I102" s="40">
        <v>4.6461000000000002E-2</v>
      </c>
    </row>
    <row r="103" spans="2:9" x14ac:dyDescent="0.25">
      <c r="B103" s="34">
        <v>97</v>
      </c>
      <c r="C103" s="41">
        <v>0.25261299999999998</v>
      </c>
      <c r="E103" s="33">
        <v>97</v>
      </c>
      <c r="F103" s="38">
        <v>2.3800000000000002E-2</v>
      </c>
      <c r="H103" s="33">
        <v>98</v>
      </c>
      <c r="I103" s="39">
        <v>5.0574000000000001E-2</v>
      </c>
    </row>
    <row r="104" spans="2:9" x14ac:dyDescent="0.25">
      <c r="B104" s="34">
        <v>98</v>
      </c>
      <c r="C104" s="41">
        <v>0.28376000000000001</v>
      </c>
      <c r="E104" s="33">
        <v>98</v>
      </c>
      <c r="F104" s="37">
        <v>2.5006E-2</v>
      </c>
      <c r="H104" s="33">
        <v>99</v>
      </c>
      <c r="I104" s="40">
        <v>5.5085000000000002E-2</v>
      </c>
    </row>
    <row r="105" spans="2:9" x14ac:dyDescent="0.25">
      <c r="B105" s="34">
        <v>99</v>
      </c>
      <c r="C105" s="41">
        <v>0.31757600000000002</v>
      </c>
      <c r="E105" s="33">
        <v>99</v>
      </c>
      <c r="F105" s="38">
        <v>2.6259999999999999E-2</v>
      </c>
      <c r="H105" s="33">
        <v>100</v>
      </c>
      <c r="I105" s="39">
        <v>6.0033999999999997E-2</v>
      </c>
    </row>
    <row r="106" spans="2:9" x14ac:dyDescent="0.25">
      <c r="B106" s="34">
        <v>100</v>
      </c>
      <c r="C106" s="41">
        <v>0.35391899999999998</v>
      </c>
      <c r="E106" s="33">
        <v>100</v>
      </c>
      <c r="F106" s="37">
        <v>2.7563000000000001E-2</v>
      </c>
      <c r="H106" s="33">
        <v>101</v>
      </c>
      <c r="I106" s="40">
        <v>6.5462999999999993E-2</v>
      </c>
    </row>
    <row r="107" spans="2:9" x14ac:dyDescent="0.25">
      <c r="B107" s="34">
        <v>101</v>
      </c>
      <c r="C107" s="41">
        <v>0.39254</v>
      </c>
      <c r="E107" s="33">
        <v>101</v>
      </c>
      <c r="F107" s="38">
        <v>2.8915E-2</v>
      </c>
      <c r="H107" s="33">
        <v>102</v>
      </c>
      <c r="I107" s="39">
        <v>7.1416999999999994E-2</v>
      </c>
    </row>
    <row r="108" spans="2:9" x14ac:dyDescent="0.25">
      <c r="B108" s="34">
        <v>102</v>
      </c>
      <c r="C108" s="41">
        <v>0.43307800000000002</v>
      </c>
      <c r="E108" s="33">
        <v>102</v>
      </c>
      <c r="F108" s="37">
        <v>3.0317E-2</v>
      </c>
      <c r="H108" s="33">
        <v>103</v>
      </c>
      <c r="I108" s="40">
        <v>7.7946000000000001E-2</v>
      </c>
    </row>
    <row r="109" spans="2:9" x14ac:dyDescent="0.25">
      <c r="B109" s="34">
        <v>103</v>
      </c>
      <c r="C109" s="41">
        <v>0.47506799999999999</v>
      </c>
      <c r="E109" s="33">
        <v>103</v>
      </c>
      <c r="F109" s="38">
        <v>3.1772000000000002E-2</v>
      </c>
      <c r="H109" s="33">
        <v>104</v>
      </c>
      <c r="I109" s="39">
        <v>8.5100999999999996E-2</v>
      </c>
    </row>
    <row r="110" spans="2:9" x14ac:dyDescent="0.25">
      <c r="B110" s="34">
        <v>104</v>
      </c>
      <c r="C110" s="41">
        <v>0.51794899999999999</v>
      </c>
      <c r="E110" s="33">
        <v>104</v>
      </c>
      <c r="F110" s="37">
        <v>3.3280999999999998E-2</v>
      </c>
      <c r="H110" s="33">
        <v>105</v>
      </c>
      <c r="I110" s="40">
        <v>9.2938000000000007E-2</v>
      </c>
    </row>
    <row r="111" spans="2:9" x14ac:dyDescent="0.25">
      <c r="B111" s="34">
        <v>105</v>
      </c>
      <c r="C111" s="41">
        <v>0.56109900000000001</v>
      </c>
      <c r="E111" s="33">
        <v>105</v>
      </c>
      <c r="F111" s="38">
        <v>3.4842999999999999E-2</v>
      </c>
      <c r="H111" s="33">
        <v>106</v>
      </c>
      <c r="I111" s="39">
        <v>0.101517</v>
      </c>
    </row>
    <row r="112" spans="2:9" x14ac:dyDescent="0.25">
      <c r="B112" s="34">
        <v>106</v>
      </c>
      <c r="C112" s="41">
        <v>0.60386099999999998</v>
      </c>
      <c r="E112" s="33">
        <v>106</v>
      </c>
      <c r="F112" s="37">
        <v>3.6462000000000001E-2</v>
      </c>
      <c r="H112" s="33">
        <v>107</v>
      </c>
      <c r="I112" s="40">
        <v>0.110898</v>
      </c>
    </row>
    <row r="113" spans="2:9" x14ac:dyDescent="0.25">
      <c r="B113" s="34">
        <v>107</v>
      </c>
      <c r="C113" s="41">
        <v>0.64558899999999997</v>
      </c>
      <c r="E113" s="33">
        <v>107</v>
      </c>
      <c r="F113" s="38">
        <v>3.8137999999999998E-2</v>
      </c>
      <c r="H113" s="33">
        <v>108</v>
      </c>
      <c r="I113" s="39">
        <v>0.121146</v>
      </c>
    </row>
    <row r="114" spans="2:9" x14ac:dyDescent="0.25">
      <c r="B114" s="34">
        <v>108</v>
      </c>
      <c r="C114" s="41">
        <v>0.68568200000000001</v>
      </c>
      <c r="E114" s="33">
        <v>108</v>
      </c>
      <c r="F114" s="37">
        <v>3.9870999999999997E-2</v>
      </c>
      <c r="H114" s="33">
        <v>109</v>
      </c>
      <c r="I114" s="40">
        <v>0.132325</v>
      </c>
    </row>
    <row r="115" spans="2:9" x14ac:dyDescent="0.25">
      <c r="B115" s="34">
        <v>109</v>
      </c>
      <c r="C115" s="41">
        <v>0.72362000000000004</v>
      </c>
      <c r="E115" s="33">
        <v>109</v>
      </c>
      <c r="F115" s="38">
        <v>4.1665000000000001E-2</v>
      </c>
      <c r="H115" s="33">
        <v>110</v>
      </c>
      <c r="I115" s="39">
        <v>0.14450199999999999</v>
      </c>
    </row>
    <row r="116" spans="2:9" x14ac:dyDescent="0.25">
      <c r="B116" s="34">
        <v>110</v>
      </c>
      <c r="C116" s="41">
        <v>0.75899099999999997</v>
      </c>
      <c r="E116" s="33">
        <v>110</v>
      </c>
      <c r="F116" s="37">
        <v>4.3519000000000002E-2</v>
      </c>
    </row>
    <row r="117" spans="2:9" x14ac:dyDescent="0.25">
      <c r="B117" s="34">
        <v>111</v>
      </c>
      <c r="C117" s="41">
        <v>1</v>
      </c>
    </row>
  </sheetData>
  <mergeCells count="16">
    <mergeCell ref="BB5:BJ6"/>
    <mergeCell ref="AT5:AZ6"/>
    <mergeCell ref="O9:P9"/>
    <mergeCell ref="K9:L9"/>
    <mergeCell ref="K3:K7"/>
    <mergeCell ref="L3:O3"/>
    <mergeCell ref="L4:O4"/>
    <mergeCell ref="L5:O5"/>
    <mergeCell ref="L6:O6"/>
    <mergeCell ref="L7:O7"/>
    <mergeCell ref="B4:B5"/>
    <mergeCell ref="C4:C5"/>
    <mergeCell ref="B3:C3"/>
    <mergeCell ref="E4:E5"/>
    <mergeCell ref="H3:I3"/>
    <mergeCell ref="E3:F3"/>
  </mergeCells>
  <conditionalFormatting sqref="R8:AC25">
    <cfRule type="expression" dxfId="12" priority="4">
      <formula>$R8&lt;&gt;""</formula>
    </cfRule>
  </conditionalFormatting>
  <conditionalFormatting sqref="AD8:AD16">
    <cfRule type="expression" dxfId="11" priority="3">
      <formula>$AD8&lt;&gt;""</formula>
    </cfRule>
  </conditionalFormatting>
  <conditionalFormatting sqref="AK8:AM25">
    <cfRule type="expression" dxfId="10" priority="2">
      <formula>$R8&lt;&gt;""</formula>
    </cfRule>
  </conditionalFormatting>
  <conditionalFormatting sqref="AF8:AQ25">
    <cfRule type="expression" dxfId="9" priority="1">
      <formula>$AF8&lt;&gt;""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alores_Garantizados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32EB-B326-49B6-8425-DE8BC1E27F02}">
  <sheetPr codeName="Hoja5"/>
  <dimension ref="B2:AN116"/>
  <sheetViews>
    <sheetView topLeftCell="M1" zoomScale="70" zoomScaleNormal="70" workbookViewId="0">
      <selection activeCell="R7" sqref="R7"/>
    </sheetView>
  </sheetViews>
  <sheetFormatPr baseColWidth="10" defaultRowHeight="15" x14ac:dyDescent="0.25"/>
  <cols>
    <col min="1" max="1" width="2.5703125" customWidth="1"/>
    <col min="3" max="3" width="16.5703125" customWidth="1"/>
    <col min="4" max="4" width="2.42578125" customWidth="1"/>
    <col min="8" max="8" width="31" customWidth="1"/>
    <col min="9" max="9" width="27.7109375" customWidth="1"/>
    <col min="10" max="10" width="21.28515625" customWidth="1"/>
    <col min="12" max="12" width="14.28515625" customWidth="1"/>
    <col min="13" max="13" width="21" customWidth="1"/>
    <col min="14" max="14" width="15.5703125" customWidth="1"/>
    <col min="15" max="15" width="17.140625" bestFit="1" customWidth="1"/>
    <col min="16" max="16" width="27" customWidth="1"/>
    <col min="17" max="17" width="24.85546875" customWidth="1"/>
    <col min="18" max="18" width="22" customWidth="1"/>
    <col min="19" max="19" width="22.85546875" customWidth="1"/>
    <col min="20" max="20" width="20.7109375" bestFit="1" customWidth="1"/>
    <col min="21" max="21" width="27.85546875" customWidth="1"/>
    <col min="22" max="22" width="26.42578125" bestFit="1" customWidth="1"/>
    <col min="24" max="24" width="18.5703125" customWidth="1"/>
    <col min="25" max="25" width="26" customWidth="1"/>
    <col min="26" max="26" width="17.140625" customWidth="1"/>
    <col min="27" max="27" width="21.42578125" customWidth="1"/>
    <col min="28" max="28" width="28.28515625" customWidth="1"/>
    <col min="29" max="29" width="11.7109375" customWidth="1"/>
    <col min="32" max="32" width="36.140625" customWidth="1"/>
    <col min="33" max="33" width="35.7109375" customWidth="1"/>
    <col min="35" max="35" width="15.5703125" customWidth="1"/>
    <col min="36" max="36" width="17" customWidth="1"/>
    <col min="37" max="37" width="14.28515625" customWidth="1"/>
    <col min="40" max="40" width="14.140625" customWidth="1"/>
    <col min="41" max="41" width="15.28515625" customWidth="1"/>
  </cols>
  <sheetData>
    <row r="2" spans="2:40" ht="18.75" customHeight="1" x14ac:dyDescent="0.25">
      <c r="B2" s="154" t="s">
        <v>67</v>
      </c>
      <c r="C2" s="155"/>
      <c r="E2" s="222" t="s">
        <v>111</v>
      </c>
      <c r="F2" s="222"/>
      <c r="H2" s="218" t="s">
        <v>4</v>
      </c>
      <c r="I2" s="159"/>
      <c r="J2" s="160"/>
      <c r="K2" s="160"/>
      <c r="L2" s="161"/>
      <c r="M2" s="42"/>
      <c r="N2" s="42"/>
      <c r="O2" s="42"/>
      <c r="P2" s="71"/>
      <c r="Q2" s="42"/>
      <c r="R2" s="42"/>
      <c r="S2" s="42"/>
      <c r="T2" s="42"/>
      <c r="U2" s="42"/>
      <c r="V2" s="42"/>
      <c r="W2" s="42"/>
    </row>
    <row r="3" spans="2:40" ht="17.25" customHeight="1" x14ac:dyDescent="0.25">
      <c r="B3" s="169" t="s">
        <v>2</v>
      </c>
      <c r="C3" s="169" t="s">
        <v>3</v>
      </c>
      <c r="E3" s="223" t="s">
        <v>9</v>
      </c>
      <c r="F3" s="223" t="s">
        <v>3</v>
      </c>
      <c r="H3" s="219"/>
      <c r="I3" s="162"/>
      <c r="J3" s="221"/>
      <c r="K3" s="221"/>
      <c r="L3" s="164"/>
      <c r="M3" s="42"/>
      <c r="P3" s="71"/>
      <c r="Q3" s="42"/>
      <c r="R3" s="42"/>
      <c r="S3" s="42"/>
      <c r="T3" s="42"/>
      <c r="U3" s="42"/>
      <c r="V3" s="42"/>
      <c r="W3" s="42"/>
      <c r="Y3" s="216" t="s">
        <v>113</v>
      </c>
      <c r="Z3" s="217">
        <v>17</v>
      </c>
    </row>
    <row r="4" spans="2:40" ht="17.25" customHeight="1" x14ac:dyDescent="0.25">
      <c r="B4" s="170"/>
      <c r="C4" s="170"/>
      <c r="E4" s="224"/>
      <c r="F4" s="224"/>
      <c r="H4" s="219"/>
      <c r="I4" s="162"/>
      <c r="J4" s="221"/>
      <c r="K4" s="221"/>
      <c r="L4" s="164"/>
      <c r="M4" s="42"/>
      <c r="N4" s="42"/>
      <c r="O4" s="42"/>
      <c r="P4" s="71"/>
      <c r="Q4" s="42"/>
      <c r="R4" s="42"/>
      <c r="S4" s="42"/>
      <c r="T4" s="42"/>
      <c r="U4" s="42"/>
      <c r="V4" s="42"/>
      <c r="W4" s="42"/>
      <c r="Y4" s="216"/>
      <c r="Z4" s="217"/>
    </row>
    <row r="5" spans="2:40" ht="15" customHeight="1" x14ac:dyDescent="0.25">
      <c r="B5" s="66">
        <v>0</v>
      </c>
      <c r="C5" s="41">
        <v>4.3300000000000001E-4</v>
      </c>
      <c r="E5" s="66">
        <v>0</v>
      </c>
      <c r="F5" s="67">
        <v>6.5399999999999996E-4</v>
      </c>
      <c r="H5" s="219"/>
      <c r="I5" s="162"/>
      <c r="J5" s="221"/>
      <c r="K5" s="221"/>
      <c r="L5" s="164"/>
      <c r="M5" s="42"/>
      <c r="N5" s="42"/>
      <c r="O5" s="42"/>
      <c r="P5" s="71"/>
      <c r="Q5" s="42"/>
      <c r="R5" s="42"/>
      <c r="S5" s="42"/>
      <c r="V5" s="42"/>
      <c r="W5" s="42"/>
    </row>
    <row r="6" spans="2:40" ht="21" customHeight="1" x14ac:dyDescent="0.25">
      <c r="B6" s="66">
        <v>1</v>
      </c>
      <c r="C6" s="41">
        <v>4.3300000000000001E-4</v>
      </c>
      <c r="E6" s="66">
        <v>1</v>
      </c>
      <c r="F6" s="68">
        <v>6.5399999999999996E-4</v>
      </c>
      <c r="H6" s="220"/>
      <c r="I6" s="165"/>
      <c r="J6" s="166"/>
      <c r="K6" s="166"/>
      <c r="L6" s="167"/>
      <c r="M6" s="42"/>
      <c r="N6" s="42"/>
      <c r="O6" s="42"/>
      <c r="P6" s="71"/>
      <c r="Q6" s="42"/>
      <c r="R6" s="42"/>
      <c r="S6" s="48" t="s">
        <v>178</v>
      </c>
      <c r="T6" s="48" t="s">
        <v>145</v>
      </c>
      <c r="U6" s="147"/>
      <c r="V6" s="42"/>
      <c r="W6" s="42"/>
      <c r="X6" s="80" t="s">
        <v>129</v>
      </c>
      <c r="Y6" s="18">
        <f>AF9+AG9</f>
        <v>15421.401866715423</v>
      </c>
    </row>
    <row r="7" spans="2:40" ht="24.75" customHeight="1" x14ac:dyDescent="0.3">
      <c r="B7" s="66">
        <v>2</v>
      </c>
      <c r="C7" s="41">
        <v>4.3399999999999998E-4</v>
      </c>
      <c r="E7" s="66">
        <v>2</v>
      </c>
      <c r="F7" s="67">
        <v>6.5499999999999998E-4</v>
      </c>
      <c r="H7" s="8"/>
      <c r="I7" s="8"/>
      <c r="J7" s="8"/>
      <c r="K7" s="8"/>
      <c r="L7" s="8"/>
      <c r="M7" s="8"/>
      <c r="N7" s="8"/>
      <c r="O7" s="48" t="s">
        <v>118</v>
      </c>
      <c r="P7" s="139">
        <v>3743000000</v>
      </c>
      <c r="Q7" s="8"/>
      <c r="R7" s="8"/>
      <c r="S7" s="76">
        <f>AN9</f>
        <v>1</v>
      </c>
      <c r="T7" s="76">
        <f>Y35-Y61</f>
        <v>4397.9582100944572</v>
      </c>
      <c r="U7" s="147"/>
      <c r="V7" s="8"/>
      <c r="W7" s="8"/>
      <c r="X7" s="80" t="s">
        <v>130</v>
      </c>
      <c r="Y7" s="58">
        <f>AJ9</f>
        <v>31.844465580397991</v>
      </c>
    </row>
    <row r="8" spans="2:40" ht="16.5" x14ac:dyDescent="0.3">
      <c r="B8" s="66">
        <v>3</v>
      </c>
      <c r="C8" s="41">
        <v>4.3399999999999998E-4</v>
      </c>
      <c r="E8" s="66">
        <v>3</v>
      </c>
      <c r="F8" s="68">
        <v>6.5600000000000001E-4</v>
      </c>
      <c r="J8" s="8"/>
      <c r="K8" s="8"/>
      <c r="L8" s="214" t="s">
        <v>120</v>
      </c>
      <c r="M8" s="214"/>
    </row>
    <row r="9" spans="2:40" ht="18" x14ac:dyDescent="0.35">
      <c r="B9" s="66">
        <v>4</v>
      </c>
      <c r="C9" s="41">
        <v>4.35E-4</v>
      </c>
      <c r="E9" s="66">
        <v>4</v>
      </c>
      <c r="F9" s="67">
        <v>6.5700000000000003E-4</v>
      </c>
      <c r="H9" s="178" t="s">
        <v>8</v>
      </c>
      <c r="I9" s="179"/>
      <c r="J9" s="8"/>
      <c r="K9" s="8"/>
      <c r="L9" s="214"/>
      <c r="M9" s="214"/>
      <c r="N9" s="8"/>
      <c r="O9" s="8"/>
      <c r="P9" s="8"/>
      <c r="Q9" s="8"/>
      <c r="R9" s="8"/>
      <c r="S9" s="8"/>
      <c r="T9" s="8"/>
      <c r="U9" s="8"/>
      <c r="V9" s="8"/>
      <c r="W9" s="8"/>
      <c r="X9" s="75" t="s">
        <v>189</v>
      </c>
      <c r="Y9" s="18">
        <f>Y6/Y7</f>
        <v>484.27259134812232</v>
      </c>
      <c r="AE9" s="72" t="s">
        <v>28</v>
      </c>
      <c r="AF9" s="18">
        <f>SUM(AF11:AF28)</f>
        <v>15421.401866715423</v>
      </c>
      <c r="AG9" s="143"/>
      <c r="AI9" s="72" t="s">
        <v>28</v>
      </c>
      <c r="AJ9" s="58">
        <f>SUM(AJ11:AJ18)</f>
        <v>31.844465580397991</v>
      </c>
      <c r="AM9" s="78" t="s">
        <v>119</v>
      </c>
      <c r="AN9" s="7">
        <f>SUM(AN11:AN28)</f>
        <v>1</v>
      </c>
    </row>
    <row r="10" spans="2:40" ht="21" x14ac:dyDescent="0.4">
      <c r="B10" s="66">
        <v>5</v>
      </c>
      <c r="C10" s="41">
        <v>4.3600000000000003E-4</v>
      </c>
      <c r="E10" s="66">
        <v>5</v>
      </c>
      <c r="F10" s="68">
        <v>6.5899999999999997E-4</v>
      </c>
      <c r="H10" s="9" t="s">
        <v>9</v>
      </c>
      <c r="I10" s="10" t="s">
        <v>10</v>
      </c>
      <c r="J10" s="11">
        <f>'Cálculo de prima'!M11</f>
        <v>32</v>
      </c>
      <c r="K10" s="8"/>
      <c r="L10" s="81" t="s">
        <v>20</v>
      </c>
      <c r="M10" s="140" t="s">
        <v>144</v>
      </c>
      <c r="O10" s="15" t="s">
        <v>20</v>
      </c>
      <c r="P10" s="15" t="s">
        <v>190</v>
      </c>
      <c r="Q10" s="15" t="s">
        <v>191</v>
      </c>
      <c r="R10" s="15" t="s">
        <v>139</v>
      </c>
      <c r="S10" s="15" t="s">
        <v>141</v>
      </c>
      <c r="T10" s="15" t="s">
        <v>142</v>
      </c>
      <c r="U10" s="15" t="s">
        <v>143</v>
      </c>
      <c r="V10" s="15" t="s">
        <v>140</v>
      </c>
      <c r="X10" s="15" t="s">
        <v>10</v>
      </c>
      <c r="Y10" s="15" t="s">
        <v>20</v>
      </c>
      <c r="Z10" s="16" t="s">
        <v>25</v>
      </c>
      <c r="AA10" s="15" t="s">
        <v>27</v>
      </c>
      <c r="AB10" s="15" t="s">
        <v>21</v>
      </c>
      <c r="AC10" s="15" t="s">
        <v>136</v>
      </c>
      <c r="AD10" s="15" t="s">
        <v>137</v>
      </c>
      <c r="AE10" s="15" t="s">
        <v>138</v>
      </c>
      <c r="AF10" s="142" t="s">
        <v>114</v>
      </c>
      <c r="AG10" s="144"/>
      <c r="AH10" s="15" t="s">
        <v>20</v>
      </c>
      <c r="AI10" s="15" t="s">
        <v>31</v>
      </c>
      <c r="AJ10" s="15" t="s">
        <v>112</v>
      </c>
      <c r="AL10" s="79" t="s">
        <v>20</v>
      </c>
      <c r="AM10" s="79" t="s">
        <v>31</v>
      </c>
      <c r="AN10" s="79" t="s">
        <v>112</v>
      </c>
    </row>
    <row r="11" spans="2:40" ht="16.5" x14ac:dyDescent="0.3">
      <c r="B11" s="66">
        <v>6</v>
      </c>
      <c r="C11" s="41">
        <v>4.3800000000000002E-4</v>
      </c>
      <c r="E11" s="66">
        <v>6</v>
      </c>
      <c r="F11" s="67">
        <v>6.6200000000000005E-4</v>
      </c>
      <c r="H11" s="9" t="s">
        <v>11</v>
      </c>
      <c r="I11" s="10" t="s">
        <v>12</v>
      </c>
      <c r="J11" s="11">
        <v>18</v>
      </c>
      <c r="K11" s="8"/>
      <c r="L11" s="7">
        <v>0</v>
      </c>
      <c r="M11" s="76">
        <f t="shared" ref="M11:M28" si="0">(0.1*$P$7)*(Q11/V11)*P11</f>
        <v>660492647.17962241</v>
      </c>
      <c r="O11" s="7">
        <v>0</v>
      </c>
      <c r="P11" s="134">
        <v>11.476988344576144</v>
      </c>
      <c r="Q11" s="76">
        <v>7711.1576278911543</v>
      </c>
      <c r="R11" s="76">
        <v>7711.1576278911543</v>
      </c>
      <c r="S11" s="76">
        <v>9123.8403568042777</v>
      </c>
      <c r="T11" s="76">
        <v>10288.704189114407</v>
      </c>
      <c r="U11" s="76">
        <v>15318.422550546715</v>
      </c>
      <c r="V11" s="76">
        <f>SUM(Q11:U11)</f>
        <v>50153.282352247712</v>
      </c>
      <c r="X11">
        <f>$J$10</f>
        <v>32</v>
      </c>
      <c r="Y11">
        <v>0</v>
      </c>
      <c r="Z11">
        <f>IF(Y11="","",X11+Y11)</f>
        <v>32</v>
      </c>
      <c r="AA11">
        <f>IF(Y11="","",1)</f>
        <v>1</v>
      </c>
      <c r="AB11">
        <f t="shared" ref="AB11:AB28" si="1">IF(Y11="","",POWER(1+VLOOKUP(Y11+1,$H$23:$I$42,2,0),-(Y11+1)))</f>
        <v>0.95410743249689911</v>
      </c>
      <c r="AC11">
        <f>IF(Y11="","",VLOOKUP(Z11,$B:$C,2,0))</f>
        <v>7.2900000000000005E-4</v>
      </c>
      <c r="AD11">
        <f t="shared" ref="AD11:AD28" si="2">IF(Y11="","",1-AC11)</f>
        <v>0.99927100000000002</v>
      </c>
      <c r="AE11">
        <f>IF(Y11="","",1)</f>
        <v>1</v>
      </c>
      <c r="AF11">
        <f>IF(Y11="","",AA11*$J$12*AB11*AC11*AE11)</f>
        <v>104.33164774353592</v>
      </c>
      <c r="AG11" s="143"/>
      <c r="AH11">
        <v>0</v>
      </c>
      <c r="AI11">
        <f t="shared" ref="AI11:AI18" si="3">IF(AH11="","",AB11*(1+VLOOKUP(AH11+1,$H$23:$I$42,2,0)))</f>
        <v>1</v>
      </c>
      <c r="AJ11">
        <f t="shared" ref="AJ11:AJ18" si="4">IF(AH11="","",AI11*AE11*(8-Y11))</f>
        <v>8</v>
      </c>
      <c r="AL11" s="74">
        <f>IF($J$11-1-$Z$3&gt;=0,0,"")</f>
        <v>0</v>
      </c>
      <c r="AM11" s="74">
        <f t="shared" ref="AM11:AM28" si="5">IF(AL11="","",AB11*(1+VLOOKUP(AL11+1,$H$23:$I$42,2,0)))</f>
        <v>1</v>
      </c>
      <c r="AN11" s="74">
        <f>IF(AL11="","",AM11*AE11)</f>
        <v>1</v>
      </c>
    </row>
    <row r="12" spans="2:40" ht="16.5" x14ac:dyDescent="0.3">
      <c r="B12" s="66">
        <v>7</v>
      </c>
      <c r="C12" s="41">
        <v>4.4000000000000002E-4</v>
      </c>
      <c r="E12" s="66">
        <v>7</v>
      </c>
      <c r="F12" s="68">
        <v>6.6500000000000001E-4</v>
      </c>
      <c r="H12" s="9" t="s">
        <v>91</v>
      </c>
      <c r="I12" s="10" t="s">
        <v>14</v>
      </c>
      <c r="J12" s="12">
        <v>150000</v>
      </c>
      <c r="K12" s="8"/>
      <c r="L12" s="7">
        <v>1</v>
      </c>
      <c r="M12" s="76">
        <f t="shared" si="0"/>
        <v>639153111.62244129</v>
      </c>
      <c r="O12" s="7">
        <v>1</v>
      </c>
      <c r="P12" s="134">
        <v>11.126730333611532</v>
      </c>
      <c r="Q12" s="77">
        <v>15492.911850737106</v>
      </c>
      <c r="R12" s="76">
        <v>15492.911850737106</v>
      </c>
      <c r="S12" s="76">
        <v>18352.067527129864</v>
      </c>
      <c r="T12" s="76">
        <v>20710.490948936676</v>
      </c>
      <c r="U12" s="76">
        <v>30903.758400679209</v>
      </c>
      <c r="V12" s="76">
        <f t="shared" ref="V12:V28" si="6">SUM(Q12:U12)</f>
        <v>100952.14057821996</v>
      </c>
      <c r="X12">
        <f t="shared" ref="X12:X28" si="7">$J$10</f>
        <v>32</v>
      </c>
      <c r="Y12">
        <f>Y11+1</f>
        <v>1</v>
      </c>
      <c r="Z12">
        <f t="shared" ref="Z12:Z28" si="8">IF(Y12="","",X12+Y12)</f>
        <v>33</v>
      </c>
      <c r="AA12">
        <f>IF(Y12="","",AA11+1)</f>
        <v>2</v>
      </c>
      <c r="AB12">
        <f t="shared" si="1"/>
        <v>0.89743135045038835</v>
      </c>
      <c r="AC12">
        <f t="shared" ref="AC12:AC28" si="9">IF(Y12="","",VLOOKUP(Z12,$B:$C,2,0))</f>
        <v>7.5699999999999997E-4</v>
      </c>
      <c r="AD12">
        <f t="shared" si="2"/>
        <v>0.99924299999999999</v>
      </c>
      <c r="AE12">
        <f t="shared" ref="AE12:AE28" si="10">IF(Y12="","",AE11*AD11)</f>
        <v>0.99927100000000002</v>
      </c>
      <c r="AF12">
        <f t="shared" ref="AF12:AF28" si="11">IF(Y12="","",AA12*$J$12*AB12*AC12*AE12)</f>
        <v>203.65808463237116</v>
      </c>
      <c r="AG12" s="143"/>
      <c r="AH12">
        <f t="shared" ref="AH12:AH18" si="12">AH11+1</f>
        <v>1</v>
      </c>
      <c r="AI12">
        <f t="shared" si="3"/>
        <v>0.94732853353543001</v>
      </c>
      <c r="AJ12">
        <f t="shared" si="4"/>
        <v>6.6264655172413791</v>
      </c>
      <c r="AL12" s="74" t="str">
        <f>IF(AL11="","",IF($J$11-1-$Z$3&gt;AL11,AL11+1,""))</f>
        <v/>
      </c>
      <c r="AM12" s="74" t="str">
        <f t="shared" si="5"/>
        <v/>
      </c>
      <c r="AN12" s="74" t="str">
        <f t="shared" ref="AN12:AN28" si="13">IF(AL12="","",AM12*AE12)</f>
        <v/>
      </c>
    </row>
    <row r="13" spans="2:40" ht="16.5" x14ac:dyDescent="0.3">
      <c r="B13" s="66">
        <v>8</v>
      </c>
      <c r="C13" s="41">
        <v>4.4299999999999998E-4</v>
      </c>
      <c r="E13" s="66">
        <v>8</v>
      </c>
      <c r="F13" s="67">
        <v>6.6799999999999997E-4</v>
      </c>
      <c r="H13" s="9" t="s">
        <v>92</v>
      </c>
      <c r="I13" s="51" t="s">
        <v>93</v>
      </c>
      <c r="J13" s="52">
        <v>0.1125</v>
      </c>
      <c r="L13" s="7">
        <v>2</v>
      </c>
      <c r="M13" s="76">
        <f t="shared" si="0"/>
        <v>616010930.53711855</v>
      </c>
      <c r="O13" s="7">
        <v>2</v>
      </c>
      <c r="P13" s="76">
        <v>10.75397621703042</v>
      </c>
      <c r="Q13" s="76">
        <v>22447.720212082408</v>
      </c>
      <c r="R13" s="76">
        <v>22447.720212082408</v>
      </c>
      <c r="S13" s="76">
        <v>26635.503586667299</v>
      </c>
      <c r="T13" s="76">
        <v>30092.369632335387</v>
      </c>
      <c r="U13" s="76">
        <v>45057.300983989764</v>
      </c>
      <c r="V13" s="76">
        <f t="shared" si="6"/>
        <v>146680.61462715725</v>
      </c>
      <c r="X13">
        <f t="shared" si="7"/>
        <v>32</v>
      </c>
      <c r="Y13">
        <f t="shared" ref="Y13:Y28" si="14">Y12+1</f>
        <v>2</v>
      </c>
      <c r="Z13">
        <f t="shared" si="8"/>
        <v>34</v>
      </c>
      <c r="AA13">
        <f t="shared" ref="AA13:AA28" si="15">IF(Y13="","",AA12+1)</f>
        <v>3</v>
      </c>
      <c r="AB13">
        <f t="shared" si="1"/>
        <v>0.85209817792008502</v>
      </c>
      <c r="AC13">
        <f t="shared" si="9"/>
        <v>7.8799999999999996E-4</v>
      </c>
      <c r="AD13">
        <f t="shared" si="2"/>
        <v>0.99921199999999999</v>
      </c>
      <c r="AE13">
        <f t="shared" si="10"/>
        <v>0.99851455185299998</v>
      </c>
      <c r="AF13">
        <f t="shared" si="11"/>
        <v>301.70517977041993</v>
      </c>
      <c r="AG13" s="143"/>
      <c r="AH13">
        <f t="shared" si="12"/>
        <v>2</v>
      </c>
      <c r="AI13">
        <f t="shared" si="3"/>
        <v>0.89879315807010562</v>
      </c>
      <c r="AJ13">
        <f t="shared" si="4"/>
        <v>5.3847482846334849</v>
      </c>
      <c r="AL13" s="74" t="str">
        <f t="shared" ref="AL13:AL28" si="16">IF(AL12="","",IF($J$11-1-$Z$3&gt;AL12,AL12+1,""))</f>
        <v/>
      </c>
      <c r="AM13" s="74" t="str">
        <f t="shared" si="5"/>
        <v/>
      </c>
      <c r="AN13" s="74" t="str">
        <f t="shared" si="13"/>
        <v/>
      </c>
    </row>
    <row r="14" spans="2:40" x14ac:dyDescent="0.25">
      <c r="B14" s="66">
        <v>9</v>
      </c>
      <c r="C14" s="41">
        <v>4.46E-4</v>
      </c>
      <c r="E14" s="66">
        <v>9</v>
      </c>
      <c r="F14" s="68">
        <v>6.7299999999999999E-4</v>
      </c>
      <c r="L14" s="7">
        <v>3</v>
      </c>
      <c r="M14" s="76">
        <f t="shared" si="0"/>
        <v>591446392.77301359</v>
      </c>
      <c r="O14" s="7">
        <v>3</v>
      </c>
      <c r="P14" s="134">
        <v>10.356759660521933</v>
      </c>
      <c r="Q14" s="76">
        <v>28505.971153572267</v>
      </c>
      <c r="R14" s="76">
        <v>28505.971153572267</v>
      </c>
      <c r="S14" s="76">
        <v>33885.685697857189</v>
      </c>
      <c r="T14" s="76">
        <v>38330.568617238248</v>
      </c>
      <c r="U14" s="76">
        <v>57609.360007622061</v>
      </c>
      <c r="V14" s="76">
        <f t="shared" si="6"/>
        <v>186837.55662986205</v>
      </c>
      <c r="X14">
        <f t="shared" si="7"/>
        <v>32</v>
      </c>
      <c r="Y14">
        <f t="shared" si="14"/>
        <v>3</v>
      </c>
      <c r="Z14">
        <f t="shared" si="8"/>
        <v>35</v>
      </c>
      <c r="AA14">
        <f t="shared" si="15"/>
        <v>4</v>
      </c>
      <c r="AB14">
        <f t="shared" si="1"/>
        <v>0.80355451823314872</v>
      </c>
      <c r="AC14">
        <f t="shared" si="9"/>
        <v>8.2100000000000001E-4</v>
      </c>
      <c r="AD14">
        <f t="shared" si="2"/>
        <v>0.99917900000000004</v>
      </c>
      <c r="AE14">
        <f t="shared" si="10"/>
        <v>0.99772772238613983</v>
      </c>
      <c r="AF14">
        <f t="shared" si="11"/>
        <v>394.93151786218078</v>
      </c>
      <c r="AG14" s="143"/>
      <c r="AH14">
        <f t="shared" si="12"/>
        <v>3</v>
      </c>
      <c r="AI14">
        <f t="shared" si="3"/>
        <v>0.84871428215785172</v>
      </c>
      <c r="AJ14">
        <f t="shared" si="4"/>
        <v>4.2339288384697049</v>
      </c>
      <c r="AL14" s="74" t="str">
        <f t="shared" si="16"/>
        <v/>
      </c>
      <c r="AM14" s="74" t="str">
        <f t="shared" si="5"/>
        <v/>
      </c>
      <c r="AN14" s="74" t="str">
        <f t="shared" si="13"/>
        <v/>
      </c>
    </row>
    <row r="15" spans="2:40" x14ac:dyDescent="0.25">
      <c r="B15" s="66">
        <v>10</v>
      </c>
      <c r="C15" s="41">
        <v>4.4900000000000002E-4</v>
      </c>
      <c r="E15" s="66">
        <v>10</v>
      </c>
      <c r="F15" s="67">
        <v>6.78E-4</v>
      </c>
      <c r="L15" s="7">
        <v>4</v>
      </c>
      <c r="M15" s="76">
        <f t="shared" si="0"/>
        <v>565403828.21902287</v>
      </c>
      <c r="O15" s="7">
        <v>4</v>
      </c>
      <c r="P15" s="134">
        <v>9.9324760958838887</v>
      </c>
      <c r="Q15" s="76">
        <v>33591.897034628739</v>
      </c>
      <c r="R15" s="76">
        <v>33591.897034628739</v>
      </c>
      <c r="S15" s="76">
        <v>40007.430338968406</v>
      </c>
      <c r="T15" s="76">
        <v>45314.144685801817</v>
      </c>
      <c r="U15" s="76">
        <v>68372.976849087077</v>
      </c>
      <c r="V15" s="76">
        <f t="shared" si="6"/>
        <v>220878.34594311478</v>
      </c>
      <c r="X15">
        <f t="shared" si="7"/>
        <v>32</v>
      </c>
      <c r="Y15">
        <f t="shared" si="14"/>
        <v>4</v>
      </c>
      <c r="Z15">
        <f t="shared" si="8"/>
        <v>36</v>
      </c>
      <c r="AA15">
        <f t="shared" si="15"/>
        <v>5</v>
      </c>
      <c r="AB15">
        <f t="shared" si="1"/>
        <v>0.76187908335233934</v>
      </c>
      <c r="AC15">
        <f t="shared" si="9"/>
        <v>8.5700000000000001E-4</v>
      </c>
      <c r="AD15">
        <f t="shared" si="2"/>
        <v>0.999143</v>
      </c>
      <c r="AE15">
        <f t="shared" si="10"/>
        <v>0.99690858792606085</v>
      </c>
      <c r="AF15">
        <f t="shared" si="11"/>
        <v>488.18392319249341</v>
      </c>
      <c r="AG15" s="143"/>
      <c r="AH15">
        <f t="shared" si="12"/>
        <v>4</v>
      </c>
      <c r="AI15">
        <f t="shared" si="3"/>
        <v>0.80446812411173518</v>
      </c>
      <c r="AJ15">
        <f t="shared" si="4"/>
        <v>3.2079247265590278</v>
      </c>
      <c r="AL15" s="74" t="str">
        <f t="shared" si="16"/>
        <v/>
      </c>
      <c r="AM15" s="74" t="str">
        <f t="shared" si="5"/>
        <v/>
      </c>
      <c r="AN15" s="74" t="str">
        <f t="shared" si="13"/>
        <v/>
      </c>
    </row>
    <row r="16" spans="2:40" ht="16.5" x14ac:dyDescent="0.3">
      <c r="B16" s="66">
        <v>11</v>
      </c>
      <c r="C16" s="41">
        <v>4.5300000000000001E-4</v>
      </c>
      <c r="E16" s="66">
        <v>11</v>
      </c>
      <c r="F16" s="68">
        <v>6.8400000000000004E-4</v>
      </c>
      <c r="H16" s="178" t="s">
        <v>94</v>
      </c>
      <c r="I16" s="179"/>
      <c r="L16" s="7">
        <v>5</v>
      </c>
      <c r="M16" s="76">
        <f t="shared" si="0"/>
        <v>537044374.49991918</v>
      </c>
      <c r="O16" s="7">
        <v>5</v>
      </c>
      <c r="P16" s="76">
        <v>9.4637572133589209</v>
      </c>
      <c r="Q16" s="76">
        <v>37448.341169717314</v>
      </c>
      <c r="R16" s="76">
        <v>37448.341169717314</v>
      </c>
      <c r="S16" s="76">
        <v>44681.582682181193</v>
      </c>
      <c r="T16" s="76">
        <v>50672.950297362331</v>
      </c>
      <c r="U16" s="76">
        <v>76753.833462652809</v>
      </c>
      <c r="V16" s="76">
        <f t="shared" si="6"/>
        <v>247005.04878163096</v>
      </c>
      <c r="X16">
        <f t="shared" si="7"/>
        <v>32</v>
      </c>
      <c r="Y16">
        <f t="shared" si="14"/>
        <v>5</v>
      </c>
      <c r="Z16">
        <f t="shared" si="8"/>
        <v>37</v>
      </c>
      <c r="AA16">
        <f t="shared" si="15"/>
        <v>6</v>
      </c>
      <c r="AB16">
        <f t="shared" si="1"/>
        <v>0.72483350774064725</v>
      </c>
      <c r="AC16">
        <f t="shared" si="9"/>
        <v>8.9599999999999999E-4</v>
      </c>
      <c r="AD16">
        <f t="shared" si="2"/>
        <v>0.99910399999999999</v>
      </c>
      <c r="AE16">
        <f t="shared" si="10"/>
        <v>0.99605423726620823</v>
      </c>
      <c r="AF16">
        <f t="shared" si="11"/>
        <v>582.19941967294517</v>
      </c>
      <c r="AG16" s="143"/>
      <c r="AH16">
        <f t="shared" si="12"/>
        <v>5</v>
      </c>
      <c r="AI16">
        <f t="shared" si="3"/>
        <v>0.76477183401715687</v>
      </c>
      <c r="AJ16">
        <f t="shared" si="4"/>
        <v>2.2852626774439151</v>
      </c>
      <c r="AL16" s="74" t="str">
        <f t="shared" si="16"/>
        <v/>
      </c>
      <c r="AM16" s="74" t="str">
        <f t="shared" si="5"/>
        <v/>
      </c>
      <c r="AN16" s="74" t="str">
        <f t="shared" si="13"/>
        <v/>
      </c>
    </row>
    <row r="17" spans="2:40" ht="16.5" x14ac:dyDescent="0.3">
      <c r="B17" s="66">
        <v>12</v>
      </c>
      <c r="C17" s="41">
        <v>4.57E-4</v>
      </c>
      <c r="E17" s="66">
        <v>12</v>
      </c>
      <c r="F17" s="67">
        <v>6.9099999999999999E-4</v>
      </c>
      <c r="H17" s="9" t="s">
        <v>9</v>
      </c>
      <c r="I17" s="10" t="s">
        <v>10</v>
      </c>
      <c r="J17" s="11">
        <f>J10</f>
        <v>32</v>
      </c>
      <c r="L17" s="7">
        <v>6</v>
      </c>
      <c r="M17" s="76">
        <f t="shared" si="0"/>
        <v>507147702.64847994</v>
      </c>
      <c r="O17" s="7">
        <v>6</v>
      </c>
      <c r="P17" s="134">
        <v>8.9656209912089384</v>
      </c>
      <c r="Q17" s="76">
        <v>40163.399737759304</v>
      </c>
      <c r="R17" s="76">
        <v>40163.399737759304</v>
      </c>
      <c r="S17" s="76">
        <v>48011.870158136735</v>
      </c>
      <c r="T17" s="76">
        <v>54518.359075137632</v>
      </c>
      <c r="U17" s="76">
        <v>82907.005782502441</v>
      </c>
      <c r="V17" s="76">
        <f t="shared" si="6"/>
        <v>265764.03449129546</v>
      </c>
      <c r="X17">
        <f t="shared" si="7"/>
        <v>32</v>
      </c>
      <c r="Y17">
        <f t="shared" si="14"/>
        <v>6</v>
      </c>
      <c r="Z17">
        <f t="shared" si="8"/>
        <v>38</v>
      </c>
      <c r="AA17">
        <f t="shared" si="15"/>
        <v>7</v>
      </c>
      <c r="AB17">
        <f t="shared" si="1"/>
        <v>0.68063376567410372</v>
      </c>
      <c r="AC17">
        <f t="shared" si="9"/>
        <v>9.3800000000000003E-4</v>
      </c>
      <c r="AD17">
        <f t="shared" si="2"/>
        <v>0.99906200000000001</v>
      </c>
      <c r="AE17">
        <f t="shared" si="10"/>
        <v>0.99516177266961769</v>
      </c>
      <c r="AF17">
        <f t="shared" si="11"/>
        <v>667.11286014475399</v>
      </c>
      <c r="AG17" s="143"/>
      <c r="AH17">
        <f t="shared" si="12"/>
        <v>6</v>
      </c>
      <c r="AI17">
        <f t="shared" si="3"/>
        <v>0.7190895734346906</v>
      </c>
      <c r="AJ17">
        <f t="shared" si="4"/>
        <v>1.4312209092150119</v>
      </c>
      <c r="AL17" s="74" t="str">
        <f t="shared" si="16"/>
        <v/>
      </c>
      <c r="AM17" s="74" t="str">
        <f t="shared" si="5"/>
        <v/>
      </c>
      <c r="AN17" s="74" t="str">
        <f t="shared" si="13"/>
        <v/>
      </c>
    </row>
    <row r="18" spans="2:40" ht="16.5" x14ac:dyDescent="0.3">
      <c r="B18" s="66">
        <v>13</v>
      </c>
      <c r="C18" s="41">
        <v>4.6299999999999998E-4</v>
      </c>
      <c r="E18" s="66">
        <v>13</v>
      </c>
      <c r="F18" s="68">
        <v>6.9899999999999997E-4</v>
      </c>
      <c r="H18" s="9" t="s">
        <v>11</v>
      </c>
      <c r="I18" s="10" t="s">
        <v>12</v>
      </c>
      <c r="J18" s="11">
        <v>8</v>
      </c>
      <c r="L18" s="7">
        <v>7</v>
      </c>
      <c r="M18" s="76">
        <f t="shared" si="0"/>
        <v>475398342.0738858</v>
      </c>
      <c r="O18" s="7">
        <v>7</v>
      </c>
      <c r="P18" s="134">
        <v>8.4314839316473194</v>
      </c>
      <c r="Q18" s="76">
        <v>41633.447937664838</v>
      </c>
      <c r="R18" s="76">
        <v>41633.447937664838</v>
      </c>
      <c r="S18" s="76">
        <v>49863.185472417928</v>
      </c>
      <c r="T18" s="76">
        <v>56691.171594748579</v>
      </c>
      <c r="U18" s="76">
        <v>86559.986510851857</v>
      </c>
      <c r="V18" s="76">
        <f t="shared" si="6"/>
        <v>276381.23945334798</v>
      </c>
      <c r="X18">
        <f t="shared" si="7"/>
        <v>32</v>
      </c>
      <c r="Y18">
        <f t="shared" si="14"/>
        <v>7</v>
      </c>
      <c r="Z18">
        <f t="shared" si="8"/>
        <v>39</v>
      </c>
      <c r="AA18">
        <f t="shared" si="15"/>
        <v>8</v>
      </c>
      <c r="AB18">
        <f t="shared" si="1"/>
        <v>0.64228653397037128</v>
      </c>
      <c r="AC18">
        <f t="shared" si="9"/>
        <v>9.8299999999999993E-4</v>
      </c>
      <c r="AD18">
        <f t="shared" si="2"/>
        <v>0.99901700000000004</v>
      </c>
      <c r="AE18">
        <f t="shared" si="10"/>
        <v>0.9942283109268536</v>
      </c>
      <c r="AF18">
        <f t="shared" si="11"/>
        <v>753.2683260621817</v>
      </c>
      <c r="AG18" s="143"/>
      <c r="AH18">
        <f t="shared" si="12"/>
        <v>7</v>
      </c>
      <c r="AI18">
        <f t="shared" si="3"/>
        <v>0.6788326377532854</v>
      </c>
      <c r="AJ18">
        <f t="shared" si="4"/>
        <v>0.67491462683546966</v>
      </c>
      <c r="AL18" s="74" t="str">
        <f t="shared" si="16"/>
        <v/>
      </c>
      <c r="AM18" s="74" t="str">
        <f t="shared" si="5"/>
        <v/>
      </c>
      <c r="AN18" s="74" t="str">
        <f t="shared" si="13"/>
        <v/>
      </c>
    </row>
    <row r="19" spans="2:40" ht="16.5" x14ac:dyDescent="0.3">
      <c r="B19" s="66">
        <v>14</v>
      </c>
      <c r="C19" s="41">
        <v>4.6799999999999999E-4</v>
      </c>
      <c r="E19" s="66">
        <v>14</v>
      </c>
      <c r="F19" s="67">
        <v>7.0699999999999995E-4</v>
      </c>
      <c r="H19" s="9" t="s">
        <v>92</v>
      </c>
      <c r="I19" s="51" t="s">
        <v>93</v>
      </c>
      <c r="J19" s="52">
        <v>0.1125</v>
      </c>
      <c r="L19" s="7">
        <v>8</v>
      </c>
      <c r="M19" s="76">
        <f t="shared" si="0"/>
        <v>442273919.67299891</v>
      </c>
      <c r="O19" s="7">
        <v>8</v>
      </c>
      <c r="P19" s="76">
        <v>7.8706698438273071</v>
      </c>
      <c r="Q19" s="76">
        <v>41989.59635014346</v>
      </c>
      <c r="R19" s="76">
        <v>41989.59635014346</v>
      </c>
      <c r="S19" s="76">
        <v>50388.610901052904</v>
      </c>
      <c r="T19" s="76">
        <v>57365.790999027624</v>
      </c>
      <c r="U19" s="76">
        <v>87959.595022864058</v>
      </c>
      <c r="V19" s="76">
        <f t="shared" si="6"/>
        <v>279693.18962323148</v>
      </c>
      <c r="X19">
        <f t="shared" si="7"/>
        <v>32</v>
      </c>
      <c r="Y19">
        <f t="shared" si="14"/>
        <v>8</v>
      </c>
      <c r="Z19">
        <f t="shared" si="8"/>
        <v>40</v>
      </c>
      <c r="AA19">
        <f t="shared" si="15"/>
        <v>9</v>
      </c>
      <c r="AB19">
        <f t="shared" si="1"/>
        <v>0.60102174520796448</v>
      </c>
      <c r="AC19">
        <f t="shared" si="9"/>
        <v>1.0330000000000001E-3</v>
      </c>
      <c r="AD19">
        <f t="shared" si="2"/>
        <v>0.99896700000000005</v>
      </c>
      <c r="AE19">
        <f t="shared" si="10"/>
        <v>0.9932509844972125</v>
      </c>
      <c r="AF19">
        <f t="shared" si="11"/>
        <v>832.49815453614133</v>
      </c>
      <c r="AG19" s="143"/>
      <c r="AL19" s="74" t="str">
        <f t="shared" si="16"/>
        <v/>
      </c>
      <c r="AM19" s="74" t="str">
        <f t="shared" si="5"/>
        <v/>
      </c>
      <c r="AN19" s="74" t="str">
        <f t="shared" si="13"/>
        <v/>
      </c>
    </row>
    <row r="20" spans="2:40" x14ac:dyDescent="0.25">
      <c r="B20" s="66">
        <v>15</v>
      </c>
      <c r="C20" s="41">
        <v>4.75E-4</v>
      </c>
      <c r="E20" s="66">
        <v>15</v>
      </c>
      <c r="F20" s="68">
        <v>7.1699999999999997E-4</v>
      </c>
      <c r="L20" s="7">
        <v>9</v>
      </c>
      <c r="M20" s="76">
        <f t="shared" si="0"/>
        <v>407492739.35910916</v>
      </c>
      <c r="O20" s="7">
        <v>9</v>
      </c>
      <c r="P20" s="134">
        <v>7.2768510638124386</v>
      </c>
      <c r="Q20" s="76">
        <v>41192.644091290131</v>
      </c>
      <c r="R20" s="76">
        <v>41192.644091290131</v>
      </c>
      <c r="S20" s="76">
        <v>49527.807219307448</v>
      </c>
      <c r="T20" s="76">
        <v>56465.440180445512</v>
      </c>
      <c r="U20" s="76">
        <v>86957.533601705276</v>
      </c>
      <c r="V20" s="76">
        <f t="shared" si="6"/>
        <v>275336.0691840385</v>
      </c>
      <c r="X20">
        <f t="shared" si="7"/>
        <v>32</v>
      </c>
      <c r="Y20">
        <f t="shared" si="14"/>
        <v>9</v>
      </c>
      <c r="Z20">
        <f t="shared" si="8"/>
        <v>41</v>
      </c>
      <c r="AA20">
        <f t="shared" si="15"/>
        <v>10</v>
      </c>
      <c r="AB20">
        <f t="shared" si="1"/>
        <v>0.56528943556254607</v>
      </c>
      <c r="AC20">
        <f t="shared" si="9"/>
        <v>1.0870000000000001E-3</v>
      </c>
      <c r="AD20">
        <f t="shared" si="2"/>
        <v>0.99891300000000005</v>
      </c>
      <c r="AE20">
        <f t="shared" si="10"/>
        <v>0.99222495623022688</v>
      </c>
      <c r="AF20">
        <f t="shared" si="11"/>
        <v>914.53813244001412</v>
      </c>
      <c r="AG20" s="143"/>
      <c r="AL20" s="74" t="str">
        <f t="shared" si="16"/>
        <v/>
      </c>
      <c r="AM20" s="74" t="str">
        <f t="shared" si="5"/>
        <v/>
      </c>
      <c r="AN20" s="74" t="str">
        <f t="shared" si="13"/>
        <v/>
      </c>
    </row>
    <row r="21" spans="2:40" x14ac:dyDescent="0.25">
      <c r="B21" s="66">
        <v>16</v>
      </c>
      <c r="C21" s="41">
        <v>4.8200000000000001E-4</v>
      </c>
      <c r="E21" s="66">
        <v>16</v>
      </c>
      <c r="F21" s="67">
        <v>7.27E-4</v>
      </c>
      <c r="L21" s="7">
        <v>10</v>
      </c>
      <c r="M21" s="76">
        <f t="shared" si="0"/>
        <v>370796790.49143988</v>
      </c>
      <c r="O21" s="7">
        <v>10</v>
      </c>
      <c r="P21" s="134">
        <v>6.6451422350647098</v>
      </c>
      <c r="Q21" s="76">
        <v>39231.729412487301</v>
      </c>
      <c r="R21" s="76">
        <v>39231.729412487301</v>
      </c>
      <c r="S21" s="76">
        <v>47264.944577871211</v>
      </c>
      <c r="T21" s="76">
        <v>53960.209141611296</v>
      </c>
      <c r="U21" s="76">
        <v>83474.851877121837</v>
      </c>
      <c r="V21" s="76">
        <f t="shared" si="6"/>
        <v>263163.46442157892</v>
      </c>
      <c r="X21">
        <f t="shared" si="7"/>
        <v>32</v>
      </c>
      <c r="Y21">
        <f t="shared" si="14"/>
        <v>10</v>
      </c>
      <c r="Z21">
        <f t="shared" si="8"/>
        <v>42</v>
      </c>
      <c r="AA21">
        <f t="shared" si="15"/>
        <v>11</v>
      </c>
      <c r="AB21">
        <f t="shared" si="1"/>
        <v>0.53450185132829275</v>
      </c>
      <c r="AC21">
        <f t="shared" si="9"/>
        <v>1.145E-3</v>
      </c>
      <c r="AD21">
        <f t="shared" si="2"/>
        <v>0.99885500000000005</v>
      </c>
      <c r="AE21">
        <f t="shared" si="10"/>
        <v>0.99114640770280471</v>
      </c>
      <c r="AF21">
        <f t="shared" si="11"/>
        <v>1000.8671976326821</v>
      </c>
      <c r="AG21" s="143"/>
      <c r="AL21" s="74" t="str">
        <f t="shared" si="16"/>
        <v/>
      </c>
      <c r="AM21" s="74" t="str">
        <f t="shared" si="5"/>
        <v/>
      </c>
      <c r="AN21" s="74" t="str">
        <f t="shared" si="13"/>
        <v/>
      </c>
    </row>
    <row r="22" spans="2:40" x14ac:dyDescent="0.25">
      <c r="B22" s="66">
        <v>17</v>
      </c>
      <c r="C22" s="41">
        <v>4.8899999999999996E-4</v>
      </c>
      <c r="E22" s="66">
        <v>17</v>
      </c>
      <c r="F22" s="68">
        <v>7.3899999999999997E-4</v>
      </c>
      <c r="L22" s="7">
        <v>11</v>
      </c>
      <c r="M22" s="76">
        <f t="shared" si="0"/>
        <v>331919542.24249017</v>
      </c>
      <c r="O22" s="7">
        <v>11</v>
      </c>
      <c r="P22" s="76">
        <v>5.9702276082292398</v>
      </c>
      <c r="Q22" s="76">
        <v>36115.199232441999</v>
      </c>
      <c r="R22" s="76">
        <v>36115.199232441999</v>
      </c>
      <c r="S22" s="76">
        <v>43600.329560613318</v>
      </c>
      <c r="T22" s="76">
        <v>49847.076632828481</v>
      </c>
      <c r="U22" s="76">
        <v>77468.631096576748</v>
      </c>
      <c r="V22" s="76">
        <f t="shared" si="6"/>
        <v>243146.43575490254</v>
      </c>
      <c r="X22">
        <f t="shared" si="7"/>
        <v>32</v>
      </c>
      <c r="Y22">
        <f t="shared" si="14"/>
        <v>11</v>
      </c>
      <c r="Z22">
        <f t="shared" si="8"/>
        <v>43</v>
      </c>
      <c r="AA22">
        <f t="shared" si="15"/>
        <v>12</v>
      </c>
      <c r="AB22">
        <f t="shared" si="1"/>
        <v>0.51009368593497662</v>
      </c>
      <c r="AC22">
        <f t="shared" si="9"/>
        <v>1.2080000000000001E-3</v>
      </c>
      <c r="AD22">
        <f t="shared" si="2"/>
        <v>0.99879200000000001</v>
      </c>
      <c r="AE22">
        <f t="shared" si="10"/>
        <v>0.9900115450659851</v>
      </c>
      <c r="AF22">
        <f t="shared" si="11"/>
        <v>1098.0690387735503</v>
      </c>
      <c r="AG22" s="143"/>
      <c r="AL22" s="74" t="str">
        <f t="shared" si="16"/>
        <v/>
      </c>
      <c r="AM22" s="74" t="str">
        <f t="shared" si="5"/>
        <v/>
      </c>
      <c r="AN22" s="74" t="str">
        <f t="shared" si="13"/>
        <v/>
      </c>
    </row>
    <row r="23" spans="2:40" ht="17.25" x14ac:dyDescent="0.3">
      <c r="B23" s="66">
        <v>18</v>
      </c>
      <c r="C23" s="41">
        <v>4.9799999999999996E-4</v>
      </c>
      <c r="E23" s="66">
        <v>18</v>
      </c>
      <c r="F23" s="67">
        <v>7.5100000000000004E-4</v>
      </c>
      <c r="H23" s="205" t="s">
        <v>48</v>
      </c>
      <c r="I23" s="207"/>
      <c r="L23" s="7">
        <v>12</v>
      </c>
      <c r="M23" s="76">
        <f t="shared" si="0"/>
        <v>291022612.83478987</v>
      </c>
      <c r="O23" s="7">
        <v>12</v>
      </c>
      <c r="P23" s="134">
        <v>5.2546171536217336</v>
      </c>
      <c r="Q23" s="76">
        <v>32011.019174519563</v>
      </c>
      <c r="R23" s="76">
        <v>32011.019174519563</v>
      </c>
      <c r="S23" s="76">
        <v>38728.59418156826</v>
      </c>
      <c r="T23" s="76">
        <v>44342.012026813551</v>
      </c>
      <c r="U23" s="76">
        <v>69245.784795744257</v>
      </c>
      <c r="V23" s="76">
        <f t="shared" si="6"/>
        <v>216338.42935316518</v>
      </c>
      <c r="X23">
        <f t="shared" si="7"/>
        <v>32</v>
      </c>
      <c r="Y23">
        <f t="shared" si="14"/>
        <v>12</v>
      </c>
      <c r="Z23">
        <f t="shared" si="8"/>
        <v>44</v>
      </c>
      <c r="AA23">
        <f t="shared" si="15"/>
        <v>13</v>
      </c>
      <c r="AB23">
        <f t="shared" si="1"/>
        <v>0.47579390660771403</v>
      </c>
      <c r="AC23">
        <f t="shared" si="9"/>
        <v>1.2780000000000001E-3</v>
      </c>
      <c r="AD23">
        <f t="shared" si="2"/>
        <v>0.998722</v>
      </c>
      <c r="AE23">
        <f t="shared" si="10"/>
        <v>0.98881561111954541</v>
      </c>
      <c r="AF23">
        <f t="shared" si="11"/>
        <v>1172.4643740271754</v>
      </c>
      <c r="AG23" s="143"/>
      <c r="AL23" s="74" t="str">
        <f t="shared" si="16"/>
        <v/>
      </c>
      <c r="AM23" s="74" t="str">
        <f t="shared" si="5"/>
        <v/>
      </c>
      <c r="AN23" s="74" t="str">
        <f t="shared" si="13"/>
        <v/>
      </c>
    </row>
    <row r="24" spans="2:40" x14ac:dyDescent="0.25">
      <c r="B24" s="66">
        <v>19</v>
      </c>
      <c r="C24" s="41">
        <v>5.0699999999999996E-4</v>
      </c>
      <c r="E24" s="66">
        <v>19</v>
      </c>
      <c r="F24" s="68">
        <v>7.6499999999999995E-4</v>
      </c>
      <c r="H24" s="7">
        <v>1</v>
      </c>
      <c r="I24" s="27">
        <v>4.8099999999999997E-2</v>
      </c>
      <c r="L24" s="7">
        <v>13</v>
      </c>
      <c r="M24" s="76">
        <f t="shared" si="0"/>
        <v>247873398.47981367</v>
      </c>
      <c r="O24" s="7">
        <v>13</v>
      </c>
      <c r="P24" s="134">
        <v>4.4928629278070948</v>
      </c>
      <c r="Q24" s="76">
        <v>27026.963485298125</v>
      </c>
      <c r="R24" s="76">
        <v>27026.963485298125</v>
      </c>
      <c r="S24" s="76">
        <v>32767.927262414029</v>
      </c>
      <c r="T24" s="76">
        <v>37570.968416814096</v>
      </c>
      <c r="U24" s="76">
        <v>58969.596349142565</v>
      </c>
      <c r="V24" s="76">
        <f t="shared" si="6"/>
        <v>183362.41899896692</v>
      </c>
      <c r="X24">
        <f t="shared" si="7"/>
        <v>32</v>
      </c>
      <c r="Y24">
        <f t="shared" si="14"/>
        <v>13</v>
      </c>
      <c r="Z24">
        <f t="shared" si="8"/>
        <v>45</v>
      </c>
      <c r="AA24">
        <f t="shared" si="15"/>
        <v>14</v>
      </c>
      <c r="AB24">
        <f t="shared" si="1"/>
        <v>0.44818421689049381</v>
      </c>
      <c r="AC24">
        <f t="shared" si="9"/>
        <v>1.353E-3</v>
      </c>
      <c r="AD24">
        <f t="shared" si="2"/>
        <v>0.99864699999999995</v>
      </c>
      <c r="AE24">
        <f t="shared" si="10"/>
        <v>0.98755190476853461</v>
      </c>
      <c r="AF24">
        <f t="shared" si="11"/>
        <v>1257.5740896300201</v>
      </c>
      <c r="AG24" s="143"/>
      <c r="AL24" s="74" t="str">
        <f t="shared" si="16"/>
        <v/>
      </c>
      <c r="AM24" s="74" t="str">
        <f t="shared" si="5"/>
        <v/>
      </c>
      <c r="AN24" s="74" t="str">
        <f t="shared" si="13"/>
        <v/>
      </c>
    </row>
    <row r="25" spans="2:40" x14ac:dyDescent="0.25">
      <c r="B25" s="66">
        <v>20</v>
      </c>
      <c r="C25" s="41">
        <v>5.1699999999999999E-4</v>
      </c>
      <c r="E25" s="66">
        <v>20</v>
      </c>
      <c r="F25" s="67">
        <v>7.7999999999999999E-4</v>
      </c>
      <c r="H25" s="7">
        <v>2</v>
      </c>
      <c r="I25" s="27">
        <v>5.5599999999999997E-2</v>
      </c>
      <c r="L25" s="7">
        <v>14</v>
      </c>
      <c r="M25" s="76">
        <f t="shared" si="0"/>
        <v>202807997.80848667</v>
      </c>
      <c r="O25" s="7">
        <v>14</v>
      </c>
      <c r="P25" s="76">
        <v>3.6908817461673378</v>
      </c>
      <c r="Q25" s="76">
        <v>21485.402333870748</v>
      </c>
      <c r="R25" s="76">
        <v>21485.402333870748</v>
      </c>
      <c r="S25" s="76">
        <v>26104.812736076463</v>
      </c>
      <c r="T25" s="76">
        <v>29978.47950400789</v>
      </c>
      <c r="U25" s="76">
        <v>47301.175055906235</v>
      </c>
      <c r="V25" s="76">
        <f t="shared" si="6"/>
        <v>146355.27196373208</v>
      </c>
      <c r="X25">
        <f t="shared" si="7"/>
        <v>32</v>
      </c>
      <c r="Y25">
        <f t="shared" si="14"/>
        <v>14</v>
      </c>
      <c r="Z25">
        <f t="shared" si="8"/>
        <v>46</v>
      </c>
      <c r="AA25">
        <f t="shared" si="15"/>
        <v>15</v>
      </c>
      <c r="AB25">
        <f t="shared" si="1"/>
        <v>0.40505954208800937</v>
      </c>
      <c r="AC25">
        <f t="shared" si="9"/>
        <v>1.4350000000000001E-3</v>
      </c>
      <c r="AD25">
        <f t="shared" si="2"/>
        <v>0.99856500000000004</v>
      </c>
      <c r="AE25">
        <f t="shared" si="10"/>
        <v>0.98621574704138271</v>
      </c>
      <c r="AF25">
        <f t="shared" si="11"/>
        <v>1289.8084543122893</v>
      </c>
      <c r="AG25" s="143"/>
      <c r="AL25" s="74" t="str">
        <f t="shared" si="16"/>
        <v/>
      </c>
      <c r="AM25" s="74" t="str">
        <f t="shared" si="5"/>
        <v/>
      </c>
      <c r="AN25" s="74" t="str">
        <f t="shared" si="13"/>
        <v/>
      </c>
    </row>
    <row r="26" spans="2:40" x14ac:dyDescent="0.25">
      <c r="B26" s="66">
        <v>21</v>
      </c>
      <c r="C26" s="41">
        <v>5.2800000000000004E-4</v>
      </c>
      <c r="E26" s="66">
        <v>21</v>
      </c>
      <c r="F26" s="68">
        <v>7.9699999999999997E-4</v>
      </c>
      <c r="H26" s="7">
        <v>3</v>
      </c>
      <c r="I26" s="27">
        <v>5.4800000000000001E-2</v>
      </c>
      <c r="L26" s="7">
        <v>15</v>
      </c>
      <c r="M26" s="76">
        <f t="shared" si="0"/>
        <v>155616760.3742733</v>
      </c>
      <c r="O26" s="7">
        <v>15</v>
      </c>
      <c r="P26" s="134">
        <v>2.8440959784733968</v>
      </c>
      <c r="Q26" s="76">
        <v>15630.873848290197</v>
      </c>
      <c r="R26" s="76">
        <v>15630.873848290197</v>
      </c>
      <c r="S26" s="76">
        <v>19032.680572316021</v>
      </c>
      <c r="T26" s="76">
        <v>21896.222024248527</v>
      </c>
      <c r="U26" s="76">
        <v>34737.231450720952</v>
      </c>
      <c r="V26" s="76">
        <f t="shared" si="6"/>
        <v>106927.8817438659</v>
      </c>
      <c r="X26">
        <f t="shared" si="7"/>
        <v>32</v>
      </c>
      <c r="Y26">
        <f t="shared" si="14"/>
        <v>15</v>
      </c>
      <c r="Z26">
        <f t="shared" si="8"/>
        <v>47</v>
      </c>
      <c r="AA26">
        <f t="shared" si="15"/>
        <v>16</v>
      </c>
      <c r="AB26">
        <f t="shared" si="1"/>
        <v>0.37965664677386823</v>
      </c>
      <c r="AC26">
        <f t="shared" si="9"/>
        <v>1.5250000000000001E-3</v>
      </c>
      <c r="AD26">
        <f t="shared" si="2"/>
        <v>0.998475</v>
      </c>
      <c r="AE26">
        <f t="shared" si="10"/>
        <v>0.9848005274443784</v>
      </c>
      <c r="AF26">
        <f t="shared" si="11"/>
        <v>1368.4230015258504</v>
      </c>
      <c r="AG26" s="143"/>
      <c r="AL26" s="74" t="str">
        <f t="shared" si="16"/>
        <v/>
      </c>
      <c r="AM26" s="74" t="str">
        <f t="shared" si="5"/>
        <v/>
      </c>
      <c r="AN26" s="74" t="str">
        <f t="shared" si="13"/>
        <v/>
      </c>
    </row>
    <row r="27" spans="2:40" ht="17.25" x14ac:dyDescent="0.25">
      <c r="B27" s="66">
        <v>22</v>
      </c>
      <c r="C27" s="41">
        <v>5.4000000000000001E-4</v>
      </c>
      <c r="E27" s="66">
        <v>22</v>
      </c>
      <c r="F27" s="67">
        <v>8.1499999999999997E-4</v>
      </c>
      <c r="H27" s="7">
        <v>4</v>
      </c>
      <c r="I27" s="27">
        <v>5.62E-2</v>
      </c>
      <c r="K27" s="73"/>
      <c r="L27" s="7">
        <v>16</v>
      </c>
      <c r="M27" s="76">
        <f t="shared" si="0"/>
        <v>106044654.32418038</v>
      </c>
      <c r="O27" s="7">
        <v>16</v>
      </c>
      <c r="P27" s="134">
        <v>1.9466379310344828</v>
      </c>
      <c r="Q27" s="76">
        <v>9772.4380072319836</v>
      </c>
      <c r="R27" s="76">
        <v>9772.4380072319836</v>
      </c>
      <c r="S27" s="76">
        <v>11925.261406143192</v>
      </c>
      <c r="T27" s="76">
        <v>13743.952214759469</v>
      </c>
      <c r="U27" s="76">
        <v>21931.756661755004</v>
      </c>
      <c r="V27" s="76">
        <f t="shared" si="6"/>
        <v>67145.846297121636</v>
      </c>
      <c r="X27">
        <f t="shared" si="7"/>
        <v>32</v>
      </c>
      <c r="Y27">
        <f t="shared" si="14"/>
        <v>16</v>
      </c>
      <c r="Z27">
        <f t="shared" si="8"/>
        <v>48</v>
      </c>
      <c r="AA27">
        <f t="shared" si="15"/>
        <v>17</v>
      </c>
      <c r="AB27">
        <f t="shared" si="1"/>
        <v>0.35678619474629281</v>
      </c>
      <c r="AC27">
        <f t="shared" si="9"/>
        <v>1.6230000000000001E-3</v>
      </c>
      <c r="AD27">
        <f t="shared" si="2"/>
        <v>0.99837699999999996</v>
      </c>
      <c r="AE27">
        <f t="shared" si="10"/>
        <v>0.98329870664002572</v>
      </c>
      <c r="AF27">
        <f t="shared" si="11"/>
        <v>1451.9518349067455</v>
      </c>
      <c r="AG27" s="143"/>
      <c r="AL27" s="74" t="str">
        <f t="shared" si="16"/>
        <v/>
      </c>
      <c r="AM27" s="74" t="str">
        <f t="shared" si="5"/>
        <v/>
      </c>
      <c r="AN27" s="74" t="str">
        <f t="shared" si="13"/>
        <v/>
      </c>
    </row>
    <row r="28" spans="2:40" x14ac:dyDescent="0.25">
      <c r="B28" s="66">
        <v>23</v>
      </c>
      <c r="C28" s="41">
        <v>5.53E-4</v>
      </c>
      <c r="E28" s="66">
        <v>23</v>
      </c>
      <c r="F28" s="68">
        <v>8.34E-4</v>
      </c>
      <c r="H28" s="7">
        <v>5</v>
      </c>
      <c r="I28" s="27">
        <v>5.5899999999999998E-2</v>
      </c>
      <c r="L28" s="7">
        <v>17</v>
      </c>
      <c r="M28" s="76">
        <f t="shared" si="0"/>
        <v>54221316.614420064</v>
      </c>
      <c r="O28" s="7">
        <v>17</v>
      </c>
      <c r="P28" s="76">
        <v>1</v>
      </c>
      <c r="Q28" s="76">
        <v>4397.9582100944572</v>
      </c>
      <c r="R28" s="76">
        <v>4397.9582100944572</v>
      </c>
      <c r="S28" s="76">
        <v>5379.7347581337672</v>
      </c>
      <c r="T28" s="76">
        <v>6211.2393855548144</v>
      </c>
      <c r="U28" s="76">
        <v>9973.0464650319627</v>
      </c>
      <c r="V28" s="76">
        <f t="shared" si="6"/>
        <v>30359.937028909459</v>
      </c>
      <c r="X28">
        <f t="shared" si="7"/>
        <v>32</v>
      </c>
      <c r="Y28">
        <f t="shared" si="14"/>
        <v>17</v>
      </c>
      <c r="Z28">
        <f t="shared" si="8"/>
        <v>49</v>
      </c>
      <c r="AA28">
        <f t="shared" si="15"/>
        <v>18</v>
      </c>
      <c r="AB28">
        <f t="shared" si="1"/>
        <v>0.33579877152592269</v>
      </c>
      <c r="AC28">
        <f t="shared" si="9"/>
        <v>1.73E-3</v>
      </c>
      <c r="AD28">
        <f t="shared" si="2"/>
        <v>0.99826999999999999</v>
      </c>
      <c r="AE28">
        <f t="shared" si="10"/>
        <v>0.98170281283914895</v>
      </c>
      <c r="AF28">
        <f t="shared" si="11"/>
        <v>1539.8166298500735</v>
      </c>
      <c r="AG28" s="143"/>
      <c r="AL28" s="74" t="str">
        <f t="shared" si="16"/>
        <v/>
      </c>
      <c r="AM28" s="74" t="str">
        <f t="shared" si="5"/>
        <v/>
      </c>
      <c r="AN28" s="74" t="str">
        <f t="shared" si="13"/>
        <v/>
      </c>
    </row>
    <row r="29" spans="2:40" x14ac:dyDescent="0.25">
      <c r="B29" s="66">
        <v>24</v>
      </c>
      <c r="C29" s="41">
        <v>5.6700000000000001E-4</v>
      </c>
      <c r="E29" s="66">
        <v>24</v>
      </c>
      <c r="F29" s="67">
        <v>8.5499999999999997E-4</v>
      </c>
      <c r="H29" s="7">
        <v>6</v>
      </c>
      <c r="I29" s="27">
        <v>5.5100000000000003E-2</v>
      </c>
      <c r="L29" s="133">
        <v>18</v>
      </c>
      <c r="M29" s="133">
        <v>0</v>
      </c>
      <c r="O29" s="74"/>
      <c r="P29" s="74"/>
      <c r="Q29" s="145"/>
      <c r="R29" s="145"/>
      <c r="S29" s="145"/>
      <c r="T29" s="145"/>
      <c r="U29" s="145"/>
      <c r="V29" s="145"/>
    </row>
    <row r="30" spans="2:40" x14ac:dyDescent="0.25">
      <c r="B30" s="66">
        <v>25</v>
      </c>
      <c r="C30" s="41">
        <v>5.8200000000000005E-4</v>
      </c>
      <c r="E30" s="66">
        <v>25</v>
      </c>
      <c r="F30" s="68">
        <v>8.7799999999999998E-4</v>
      </c>
      <c r="H30" s="7">
        <v>7</v>
      </c>
      <c r="I30" s="27">
        <v>5.6500000000000002E-2</v>
      </c>
      <c r="T30" s="74"/>
      <c r="U30" s="74"/>
      <c r="V30" s="74"/>
    </row>
    <row r="31" spans="2:40" x14ac:dyDescent="0.25">
      <c r="B31" s="66">
        <v>26</v>
      </c>
      <c r="C31" s="41">
        <v>5.9800000000000001E-4</v>
      </c>
      <c r="E31" s="66">
        <v>26</v>
      </c>
      <c r="F31" s="67">
        <v>9.0300000000000005E-4</v>
      </c>
      <c r="H31" s="7">
        <v>8</v>
      </c>
      <c r="I31" s="27">
        <v>5.6899999999999999E-2</v>
      </c>
    </row>
    <row r="32" spans="2:40" ht="18.75" x14ac:dyDescent="0.35">
      <c r="B32" s="66">
        <v>27</v>
      </c>
      <c r="C32" s="41">
        <v>6.1600000000000001E-4</v>
      </c>
      <c r="E32" s="66">
        <v>27</v>
      </c>
      <c r="F32" s="68">
        <v>9.3000000000000005E-4</v>
      </c>
      <c r="H32" s="7">
        <v>9</v>
      </c>
      <c r="I32" s="27">
        <v>5.8200000000000002E-2</v>
      </c>
      <c r="Y32" s="138" t="s">
        <v>131</v>
      </c>
      <c r="Z32" s="62">
        <f>AF35+AG35</f>
        <v>13063.638965747543</v>
      </c>
      <c r="AB32" s="46" t="s">
        <v>55</v>
      </c>
      <c r="AC32" s="215" t="s">
        <v>89</v>
      </c>
      <c r="AD32" s="215"/>
      <c r="AE32" s="215"/>
      <c r="AF32" s="215"/>
      <c r="AG32" s="18">
        <f>J12+Z3*J12</f>
        <v>2700000</v>
      </c>
    </row>
    <row r="33" spans="2:37" ht="18.75" x14ac:dyDescent="0.35">
      <c r="B33" s="66">
        <v>28</v>
      </c>
      <c r="C33" s="41">
        <v>6.3500000000000004E-4</v>
      </c>
      <c r="E33" s="66">
        <v>28</v>
      </c>
      <c r="F33" s="67">
        <v>9.59E-4</v>
      </c>
      <c r="H33" s="7">
        <v>10</v>
      </c>
      <c r="I33" s="27">
        <v>5.8700000000000002E-2</v>
      </c>
      <c r="Y33" s="138" t="s">
        <v>132</v>
      </c>
      <c r="Z33" s="62">
        <f>AK35</f>
        <v>0</v>
      </c>
      <c r="AB33" s="47" t="s">
        <v>88</v>
      </c>
      <c r="AC33" s="215" t="s">
        <v>54</v>
      </c>
      <c r="AD33" s="215"/>
      <c r="AE33" s="215"/>
      <c r="AF33" s="215"/>
      <c r="AG33" s="18">
        <f>J12*Z3</f>
        <v>2550000</v>
      </c>
    </row>
    <row r="34" spans="2:37" x14ac:dyDescent="0.25">
      <c r="B34" s="66">
        <v>29</v>
      </c>
      <c r="C34" s="41">
        <v>6.5600000000000001E-4</v>
      </c>
      <c r="E34" s="66">
        <v>29</v>
      </c>
      <c r="F34" s="68">
        <v>9.8999999999999999E-4</v>
      </c>
      <c r="H34" s="7">
        <v>11</v>
      </c>
      <c r="I34" s="27">
        <v>5.8599999999999999E-2</v>
      </c>
    </row>
    <row r="35" spans="2:37" ht="18.75" x14ac:dyDescent="0.35">
      <c r="B35" s="66">
        <v>30</v>
      </c>
      <c r="C35" s="41">
        <v>6.78E-4</v>
      </c>
      <c r="E35" s="66">
        <v>30</v>
      </c>
      <c r="F35" s="67">
        <v>1.024E-3</v>
      </c>
      <c r="H35" s="7">
        <v>12</v>
      </c>
      <c r="I35" s="27">
        <v>5.7700000000000001E-2</v>
      </c>
      <c r="X35" s="75" t="s">
        <v>127</v>
      </c>
      <c r="Y35" s="62">
        <f>Z32-Z33</f>
        <v>13063.638965747543</v>
      </c>
      <c r="AE35" s="72" t="s">
        <v>99</v>
      </c>
      <c r="AF35" s="62">
        <f>SUM(AF37:AF54)</f>
        <v>6718.4428966701653</v>
      </c>
      <c r="AG35" s="7">
        <f>SUM(AG37:AG54)</f>
        <v>6345.1960690773776</v>
      </c>
      <c r="AJ35" s="72" t="s">
        <v>28</v>
      </c>
      <c r="AK35" s="18">
        <f>SUM(AK37:AK44)</f>
        <v>0</v>
      </c>
    </row>
    <row r="36" spans="2:37" ht="21" x14ac:dyDescent="0.4">
      <c r="B36" s="66">
        <v>31</v>
      </c>
      <c r="C36" s="41">
        <v>7.0299999999999996E-4</v>
      </c>
      <c r="E36" s="66">
        <v>31</v>
      </c>
      <c r="F36" s="68">
        <v>1.06E-3</v>
      </c>
      <c r="H36" s="7">
        <v>13</v>
      </c>
      <c r="I36" s="27">
        <v>5.8799999999999998E-2</v>
      </c>
      <c r="X36" s="15" t="s">
        <v>10</v>
      </c>
      <c r="Y36" s="15" t="s">
        <v>20</v>
      </c>
      <c r="Z36" s="16" t="s">
        <v>25</v>
      </c>
      <c r="AA36" s="15" t="s">
        <v>27</v>
      </c>
      <c r="AB36" s="15" t="s">
        <v>21</v>
      </c>
      <c r="AC36" s="15" t="s">
        <v>133</v>
      </c>
      <c r="AD36" s="15" t="s">
        <v>134</v>
      </c>
      <c r="AE36" s="15" t="s">
        <v>135</v>
      </c>
      <c r="AF36" s="15" t="s">
        <v>114</v>
      </c>
      <c r="AG36" s="15" t="s">
        <v>115</v>
      </c>
      <c r="AI36" s="15" t="s">
        <v>20</v>
      </c>
      <c r="AJ36" s="15" t="s">
        <v>31</v>
      </c>
      <c r="AK36" s="15" t="s">
        <v>112</v>
      </c>
    </row>
    <row r="37" spans="2:37" x14ac:dyDescent="0.25">
      <c r="B37" s="66">
        <v>32</v>
      </c>
      <c r="C37" s="41">
        <v>7.2900000000000005E-4</v>
      </c>
      <c r="E37" s="66">
        <v>32</v>
      </c>
      <c r="F37" s="67">
        <v>1.1000000000000001E-3</v>
      </c>
      <c r="H37" s="7">
        <v>14</v>
      </c>
      <c r="I37" s="27">
        <v>5.8999999999999997E-2</v>
      </c>
      <c r="X37">
        <f t="shared" ref="X37:X54" si="17">IF(Y37="","",IF($J$10+$Z$3&lt;=$J$10+$J$11,$J$10+$Z$3))</f>
        <v>49</v>
      </c>
      <c r="Y37">
        <f>IF($J$11-1-$Z$3&gt;=0,0,"")</f>
        <v>0</v>
      </c>
      <c r="Z37">
        <f>IF(Y37="","",X37+Y37)</f>
        <v>49</v>
      </c>
      <c r="AA37">
        <f>IF(Y37="","",1)</f>
        <v>1</v>
      </c>
      <c r="AB37">
        <f t="shared" ref="AB37:AB54" si="18">IF(Y37="","",POWER(1+VLOOKUP(Y37+1,$H$23:$I$42,2,0),-(Y37+1)))</f>
        <v>0.95410743249689911</v>
      </c>
      <c r="AC37">
        <f t="shared" ref="AC37:AC54" si="19">IF(Y37="","",VLOOKUP(Z37,$E:$F,2,0))</f>
        <v>2.6080000000000001E-3</v>
      </c>
      <c r="AD37">
        <f t="shared" ref="AD37:AD54" si="20">IF(Y37="","",1-AC37)</f>
        <v>0.99739199999999995</v>
      </c>
      <c r="AE37">
        <f>IF(Y37="","",1)</f>
        <v>1</v>
      </c>
      <c r="AF37">
        <f>IF(Y37="","",AA37*$AG$32*AB37*AC37*AE37)</f>
        <v>6718.4428966701653</v>
      </c>
      <c r="AG37">
        <f t="shared" ref="AG37:AG54" si="21">IF(Y37="","",$AG$33*AB37*AC37*AE37)</f>
        <v>6345.1960690773776</v>
      </c>
      <c r="AI37" t="str">
        <f>IF($J$18-1-$Z$3&gt;=0,0,"")</f>
        <v/>
      </c>
      <c r="AJ37" t="str">
        <f t="shared" ref="AJ37:AJ44" si="22">IF(AI37="","",AB37*(1+VLOOKUP(AI37+1,$H$23:$I$42,2,0)))</f>
        <v/>
      </c>
      <c r="AK37" t="str">
        <f>IF(AI37="","",AJ37*AE37*(8-Y37)*$Y$9)</f>
        <v/>
      </c>
    </row>
    <row r="38" spans="2:37" x14ac:dyDescent="0.25">
      <c r="B38" s="66">
        <v>33</v>
      </c>
      <c r="C38" s="41">
        <v>7.5699999999999997E-4</v>
      </c>
      <c r="E38" s="66">
        <v>33</v>
      </c>
      <c r="F38" s="68">
        <v>1.142E-3</v>
      </c>
      <c r="H38" s="7">
        <v>15</v>
      </c>
      <c r="I38" s="27">
        <v>6.2100000000000002E-2</v>
      </c>
      <c r="X38" t="str">
        <f t="shared" si="17"/>
        <v/>
      </c>
      <c r="Y38" t="str">
        <f t="shared" ref="Y38:Y54" si="23">IF(Y37="","",IF($J$11-1-$Z$3&gt;Y37,Y37+1,""))</f>
        <v/>
      </c>
      <c r="Z38" t="str">
        <f t="shared" ref="Z38:Z54" si="24">IF(Y38="","",X38+Y38)</f>
        <v/>
      </c>
      <c r="AA38" t="str">
        <f>IF(Y38="","",AA37+1)</f>
        <v/>
      </c>
      <c r="AB38" t="str">
        <f t="shared" si="18"/>
        <v/>
      </c>
      <c r="AC38" t="str">
        <f t="shared" si="19"/>
        <v/>
      </c>
      <c r="AD38" t="str">
        <f t="shared" si="20"/>
        <v/>
      </c>
      <c r="AE38" t="str">
        <f t="shared" ref="AE38:AE54" si="25">IF(Y38="","",AE37*AD37)</f>
        <v/>
      </c>
      <c r="AF38" t="str">
        <f t="shared" ref="AF38:AF53" si="26">IF(Y38="","",AA38*$AG$32*AB38*AC38*AE38)</f>
        <v/>
      </c>
      <c r="AG38" t="str">
        <f t="shared" si="21"/>
        <v/>
      </c>
      <c r="AI38" t="str">
        <f t="shared" ref="AI38:AI44" si="27">IF(AI37="","",IF($J$18-1-$Z$3&gt;AI37,AI37+1,""))</f>
        <v/>
      </c>
      <c r="AJ38" t="str">
        <f t="shared" si="22"/>
        <v/>
      </c>
      <c r="AK38" t="str">
        <f t="shared" ref="AK38:AK44" si="28">IF(AI38="","",AJ38*AE38*(8-Y38)*$Y$9)</f>
        <v/>
      </c>
    </row>
    <row r="39" spans="2:37" x14ac:dyDescent="0.25">
      <c r="B39" s="66">
        <v>34</v>
      </c>
      <c r="C39" s="41">
        <v>7.8799999999999996E-4</v>
      </c>
      <c r="E39" s="66">
        <v>34</v>
      </c>
      <c r="F39" s="67">
        <v>1.188E-3</v>
      </c>
      <c r="H39" s="7">
        <v>16</v>
      </c>
      <c r="I39" s="27">
        <v>6.2399999999999997E-2</v>
      </c>
      <c r="X39" t="str">
        <f t="shared" si="17"/>
        <v/>
      </c>
      <c r="Y39" t="str">
        <f t="shared" si="23"/>
        <v/>
      </c>
      <c r="Z39" t="str">
        <f t="shared" si="24"/>
        <v/>
      </c>
      <c r="AA39" t="str">
        <f t="shared" ref="AA39:AA54" si="29">IF(Y39="","",AA38+1)</f>
        <v/>
      </c>
      <c r="AB39" t="str">
        <f t="shared" si="18"/>
        <v/>
      </c>
      <c r="AC39" t="str">
        <f t="shared" si="19"/>
        <v/>
      </c>
      <c r="AD39" t="str">
        <f t="shared" si="20"/>
        <v/>
      </c>
      <c r="AE39" t="str">
        <f t="shared" si="25"/>
        <v/>
      </c>
      <c r="AF39" t="str">
        <f t="shared" si="26"/>
        <v/>
      </c>
      <c r="AG39" t="str">
        <f t="shared" si="21"/>
        <v/>
      </c>
      <c r="AI39" t="str">
        <f t="shared" si="27"/>
        <v/>
      </c>
      <c r="AJ39" t="str">
        <f t="shared" si="22"/>
        <v/>
      </c>
      <c r="AK39" t="str">
        <f t="shared" si="28"/>
        <v/>
      </c>
    </row>
    <row r="40" spans="2:37" x14ac:dyDescent="0.25">
      <c r="B40" s="66">
        <v>35</v>
      </c>
      <c r="C40" s="41">
        <v>8.2100000000000001E-4</v>
      </c>
      <c r="E40" s="66">
        <v>35</v>
      </c>
      <c r="F40" s="68">
        <v>1.238E-3</v>
      </c>
      <c r="H40" s="7">
        <v>17</v>
      </c>
      <c r="I40" s="27">
        <v>6.25E-2</v>
      </c>
      <c r="X40" t="str">
        <f t="shared" si="17"/>
        <v/>
      </c>
      <c r="Y40" t="str">
        <f t="shared" si="23"/>
        <v/>
      </c>
      <c r="Z40" t="str">
        <f t="shared" si="24"/>
        <v/>
      </c>
      <c r="AA40" t="str">
        <f t="shared" si="29"/>
        <v/>
      </c>
      <c r="AB40" t="str">
        <f t="shared" si="18"/>
        <v/>
      </c>
      <c r="AC40" t="str">
        <f t="shared" si="19"/>
        <v/>
      </c>
      <c r="AD40" t="str">
        <f t="shared" si="20"/>
        <v/>
      </c>
      <c r="AE40" t="str">
        <f t="shared" si="25"/>
        <v/>
      </c>
      <c r="AF40" t="str">
        <f t="shared" si="26"/>
        <v/>
      </c>
      <c r="AG40" t="str">
        <f t="shared" si="21"/>
        <v/>
      </c>
      <c r="AI40" t="str">
        <f t="shared" si="27"/>
        <v/>
      </c>
      <c r="AJ40" t="str">
        <f t="shared" si="22"/>
        <v/>
      </c>
      <c r="AK40" t="str">
        <f t="shared" si="28"/>
        <v/>
      </c>
    </row>
    <row r="41" spans="2:37" x14ac:dyDescent="0.25">
      <c r="B41" s="66">
        <v>36</v>
      </c>
      <c r="C41" s="41">
        <v>8.5700000000000001E-4</v>
      </c>
      <c r="E41" s="66">
        <v>36</v>
      </c>
      <c r="F41" s="67">
        <v>1.292E-3</v>
      </c>
      <c r="H41" s="7">
        <v>18</v>
      </c>
      <c r="I41" s="27">
        <v>6.25E-2</v>
      </c>
      <c r="X41" t="str">
        <f t="shared" si="17"/>
        <v/>
      </c>
      <c r="Y41" t="str">
        <f t="shared" si="23"/>
        <v/>
      </c>
      <c r="Z41" t="str">
        <f t="shared" si="24"/>
        <v/>
      </c>
      <c r="AA41" t="str">
        <f t="shared" si="29"/>
        <v/>
      </c>
      <c r="AB41" t="str">
        <f t="shared" si="18"/>
        <v/>
      </c>
      <c r="AC41" t="str">
        <f t="shared" si="19"/>
        <v/>
      </c>
      <c r="AD41" t="str">
        <f t="shared" si="20"/>
        <v/>
      </c>
      <c r="AE41" t="str">
        <f t="shared" si="25"/>
        <v/>
      </c>
      <c r="AF41" t="str">
        <f t="shared" si="26"/>
        <v/>
      </c>
      <c r="AG41" t="str">
        <f t="shared" si="21"/>
        <v/>
      </c>
      <c r="AI41" t="str">
        <f t="shared" si="27"/>
        <v/>
      </c>
      <c r="AJ41" t="str">
        <f t="shared" si="22"/>
        <v/>
      </c>
      <c r="AK41" t="str">
        <f t="shared" si="28"/>
        <v/>
      </c>
    </row>
    <row r="42" spans="2:37" x14ac:dyDescent="0.25">
      <c r="B42" s="66">
        <v>37</v>
      </c>
      <c r="C42" s="41">
        <v>8.9599999999999999E-4</v>
      </c>
      <c r="E42" s="66">
        <v>37</v>
      </c>
      <c r="F42" s="69">
        <v>1.351E-3</v>
      </c>
      <c r="H42" s="61" t="s">
        <v>68</v>
      </c>
      <c r="I42" s="27">
        <v>6.25E-2</v>
      </c>
      <c r="X42" t="str">
        <f t="shared" si="17"/>
        <v/>
      </c>
      <c r="Y42" t="str">
        <f t="shared" si="23"/>
        <v/>
      </c>
      <c r="Z42" t="str">
        <f t="shared" si="24"/>
        <v/>
      </c>
      <c r="AA42" t="str">
        <f t="shared" si="29"/>
        <v/>
      </c>
      <c r="AB42" t="str">
        <f t="shared" si="18"/>
        <v/>
      </c>
      <c r="AC42" t="str">
        <f t="shared" si="19"/>
        <v/>
      </c>
      <c r="AD42" t="str">
        <f t="shared" si="20"/>
        <v/>
      </c>
      <c r="AE42" t="str">
        <f t="shared" si="25"/>
        <v/>
      </c>
      <c r="AF42" t="str">
        <f t="shared" si="26"/>
        <v/>
      </c>
      <c r="AG42" t="str">
        <f t="shared" si="21"/>
        <v/>
      </c>
      <c r="AI42" t="str">
        <f t="shared" si="27"/>
        <v/>
      </c>
      <c r="AJ42" t="str">
        <f t="shared" si="22"/>
        <v/>
      </c>
      <c r="AK42" t="str">
        <f t="shared" si="28"/>
        <v/>
      </c>
    </row>
    <row r="43" spans="2:37" x14ac:dyDescent="0.25">
      <c r="B43" s="66">
        <v>38</v>
      </c>
      <c r="C43" s="41">
        <v>9.3800000000000003E-4</v>
      </c>
      <c r="E43" s="66">
        <v>38</v>
      </c>
      <c r="F43" s="70">
        <v>1.4139999999999999E-3</v>
      </c>
      <c r="X43" t="str">
        <f t="shared" si="17"/>
        <v/>
      </c>
      <c r="Y43" t="str">
        <f t="shared" si="23"/>
        <v/>
      </c>
      <c r="Z43" t="str">
        <f t="shared" si="24"/>
        <v/>
      </c>
      <c r="AA43" t="str">
        <f t="shared" si="29"/>
        <v/>
      </c>
      <c r="AB43" t="str">
        <f t="shared" si="18"/>
        <v/>
      </c>
      <c r="AC43" t="str">
        <f t="shared" si="19"/>
        <v/>
      </c>
      <c r="AD43" t="str">
        <f t="shared" si="20"/>
        <v/>
      </c>
      <c r="AE43" t="str">
        <f t="shared" si="25"/>
        <v/>
      </c>
      <c r="AF43" t="str">
        <f t="shared" si="26"/>
        <v/>
      </c>
      <c r="AG43" t="str">
        <f t="shared" si="21"/>
        <v/>
      </c>
      <c r="AI43" t="str">
        <f t="shared" si="27"/>
        <v/>
      </c>
      <c r="AJ43" t="str">
        <f t="shared" si="22"/>
        <v/>
      </c>
      <c r="AK43" t="str">
        <f t="shared" si="28"/>
        <v/>
      </c>
    </row>
    <row r="44" spans="2:37" x14ac:dyDescent="0.25">
      <c r="B44" s="66">
        <v>39</v>
      </c>
      <c r="C44" s="41">
        <v>9.8299999999999993E-4</v>
      </c>
      <c r="E44" s="66">
        <v>39</v>
      </c>
      <c r="F44" s="69">
        <v>1.4829999999999999E-3</v>
      </c>
      <c r="X44" t="str">
        <f t="shared" si="17"/>
        <v/>
      </c>
      <c r="Y44" t="str">
        <f t="shared" si="23"/>
        <v/>
      </c>
      <c r="Z44" t="str">
        <f t="shared" si="24"/>
        <v/>
      </c>
      <c r="AA44" t="str">
        <f t="shared" si="29"/>
        <v/>
      </c>
      <c r="AB44" t="str">
        <f t="shared" si="18"/>
        <v/>
      </c>
      <c r="AC44" t="str">
        <f t="shared" si="19"/>
        <v/>
      </c>
      <c r="AD44" t="str">
        <f t="shared" si="20"/>
        <v/>
      </c>
      <c r="AE44" t="str">
        <f t="shared" si="25"/>
        <v/>
      </c>
      <c r="AF44" t="str">
        <f t="shared" si="26"/>
        <v/>
      </c>
      <c r="AG44" t="str">
        <f t="shared" si="21"/>
        <v/>
      </c>
      <c r="AI44" t="str">
        <f t="shared" si="27"/>
        <v/>
      </c>
      <c r="AJ44" t="str">
        <f t="shared" si="22"/>
        <v/>
      </c>
      <c r="AK44" t="str">
        <f t="shared" si="28"/>
        <v/>
      </c>
    </row>
    <row r="45" spans="2:37" x14ac:dyDescent="0.25">
      <c r="B45" s="66">
        <v>40</v>
      </c>
      <c r="C45" s="41">
        <v>1.0330000000000001E-3</v>
      </c>
      <c r="E45" s="66">
        <v>40</v>
      </c>
      <c r="F45" s="70">
        <v>1.557E-3</v>
      </c>
      <c r="X45" t="str">
        <f t="shared" si="17"/>
        <v/>
      </c>
      <c r="Y45" t="str">
        <f t="shared" si="23"/>
        <v/>
      </c>
      <c r="Z45" t="str">
        <f t="shared" si="24"/>
        <v/>
      </c>
      <c r="AA45" t="str">
        <f t="shared" si="29"/>
        <v/>
      </c>
      <c r="AB45" t="str">
        <f t="shared" si="18"/>
        <v/>
      </c>
      <c r="AC45" t="str">
        <f t="shared" si="19"/>
        <v/>
      </c>
      <c r="AD45" t="str">
        <f t="shared" si="20"/>
        <v/>
      </c>
      <c r="AE45" t="str">
        <f t="shared" si="25"/>
        <v/>
      </c>
      <c r="AF45" t="str">
        <f t="shared" si="26"/>
        <v/>
      </c>
      <c r="AG45" t="str">
        <f t="shared" si="21"/>
        <v/>
      </c>
    </row>
    <row r="46" spans="2:37" x14ac:dyDescent="0.25">
      <c r="B46" s="66">
        <v>41</v>
      </c>
      <c r="C46" s="41">
        <v>1.0870000000000001E-3</v>
      </c>
      <c r="E46" s="66">
        <v>41</v>
      </c>
      <c r="F46" s="69">
        <v>1.6379999999999999E-3</v>
      </c>
      <c r="X46" t="str">
        <f t="shared" si="17"/>
        <v/>
      </c>
      <c r="Y46" t="str">
        <f t="shared" si="23"/>
        <v/>
      </c>
      <c r="Z46" t="str">
        <f t="shared" si="24"/>
        <v/>
      </c>
      <c r="AA46" t="str">
        <f t="shared" si="29"/>
        <v/>
      </c>
      <c r="AB46" t="str">
        <f t="shared" si="18"/>
        <v/>
      </c>
      <c r="AC46" t="str">
        <f t="shared" si="19"/>
        <v/>
      </c>
      <c r="AD46" t="str">
        <f t="shared" si="20"/>
        <v/>
      </c>
      <c r="AE46" t="str">
        <f t="shared" si="25"/>
        <v/>
      </c>
      <c r="AF46" t="str">
        <f t="shared" si="26"/>
        <v/>
      </c>
      <c r="AG46" t="str">
        <f t="shared" si="21"/>
        <v/>
      </c>
    </row>
    <row r="47" spans="2:37" x14ac:dyDescent="0.25">
      <c r="B47" s="66">
        <v>42</v>
      </c>
      <c r="C47" s="41">
        <v>1.145E-3</v>
      </c>
      <c r="E47" s="66">
        <v>42</v>
      </c>
      <c r="F47" s="70">
        <v>1.7260000000000001E-3</v>
      </c>
      <c r="X47" t="str">
        <f t="shared" si="17"/>
        <v/>
      </c>
      <c r="Y47" t="str">
        <f t="shared" si="23"/>
        <v/>
      </c>
      <c r="Z47" t="str">
        <f t="shared" si="24"/>
        <v/>
      </c>
      <c r="AA47" t="str">
        <f t="shared" si="29"/>
        <v/>
      </c>
      <c r="AB47" t="str">
        <f t="shared" si="18"/>
        <v/>
      </c>
      <c r="AC47" t="str">
        <f t="shared" si="19"/>
        <v/>
      </c>
      <c r="AD47" t="str">
        <f t="shared" si="20"/>
        <v/>
      </c>
      <c r="AE47" t="str">
        <f t="shared" si="25"/>
        <v/>
      </c>
      <c r="AF47" t="str">
        <f t="shared" si="26"/>
        <v/>
      </c>
      <c r="AG47" t="str">
        <f t="shared" si="21"/>
        <v/>
      </c>
    </row>
    <row r="48" spans="2:37" x14ac:dyDescent="0.25">
      <c r="B48" s="66">
        <v>43</v>
      </c>
      <c r="C48" s="41">
        <v>1.2080000000000001E-3</v>
      </c>
      <c r="E48" s="66">
        <v>43</v>
      </c>
      <c r="F48" s="69">
        <v>1.8220000000000001E-3</v>
      </c>
      <c r="X48" t="str">
        <f t="shared" si="17"/>
        <v/>
      </c>
      <c r="Y48" t="str">
        <f t="shared" si="23"/>
        <v/>
      </c>
      <c r="Z48" t="str">
        <f t="shared" si="24"/>
        <v/>
      </c>
      <c r="AA48" t="str">
        <f t="shared" si="29"/>
        <v/>
      </c>
      <c r="AB48" t="str">
        <f t="shared" si="18"/>
        <v/>
      </c>
      <c r="AC48" t="str">
        <f t="shared" si="19"/>
        <v/>
      </c>
      <c r="AD48" t="str">
        <f t="shared" si="20"/>
        <v/>
      </c>
      <c r="AE48" t="str">
        <f t="shared" si="25"/>
        <v/>
      </c>
      <c r="AF48" t="str">
        <f t="shared" si="26"/>
        <v/>
      </c>
      <c r="AG48" t="str">
        <f t="shared" si="21"/>
        <v/>
      </c>
    </row>
    <row r="49" spans="2:37" x14ac:dyDescent="0.25">
      <c r="B49" s="66">
        <v>44</v>
      </c>
      <c r="C49" s="41">
        <v>1.2780000000000001E-3</v>
      </c>
      <c r="E49" s="66">
        <v>44</v>
      </c>
      <c r="F49" s="70">
        <v>1.926E-3</v>
      </c>
      <c r="X49" t="str">
        <f t="shared" si="17"/>
        <v/>
      </c>
      <c r="Y49" t="str">
        <f t="shared" si="23"/>
        <v/>
      </c>
      <c r="Z49" t="str">
        <f t="shared" si="24"/>
        <v/>
      </c>
      <c r="AA49" t="str">
        <f t="shared" si="29"/>
        <v/>
      </c>
      <c r="AB49" t="str">
        <f t="shared" si="18"/>
        <v/>
      </c>
      <c r="AC49" t="str">
        <f t="shared" si="19"/>
        <v/>
      </c>
      <c r="AD49" t="str">
        <f t="shared" si="20"/>
        <v/>
      </c>
      <c r="AE49" t="str">
        <f t="shared" si="25"/>
        <v/>
      </c>
      <c r="AF49" t="str">
        <f t="shared" si="26"/>
        <v/>
      </c>
      <c r="AG49" t="str">
        <f t="shared" si="21"/>
        <v/>
      </c>
    </row>
    <row r="50" spans="2:37" x14ac:dyDescent="0.25">
      <c r="B50" s="66">
        <v>45</v>
      </c>
      <c r="C50" s="41">
        <v>1.353E-3</v>
      </c>
      <c r="E50" s="66">
        <v>45</v>
      </c>
      <c r="F50" s="69">
        <v>2.039E-3</v>
      </c>
      <c r="X50" t="str">
        <f t="shared" si="17"/>
        <v/>
      </c>
      <c r="Y50" t="str">
        <f t="shared" si="23"/>
        <v/>
      </c>
      <c r="Z50" t="str">
        <f t="shared" si="24"/>
        <v/>
      </c>
      <c r="AA50" t="str">
        <f t="shared" si="29"/>
        <v/>
      </c>
      <c r="AB50" t="str">
        <f t="shared" si="18"/>
        <v/>
      </c>
      <c r="AC50" t="str">
        <f t="shared" si="19"/>
        <v/>
      </c>
      <c r="AD50" t="str">
        <f t="shared" si="20"/>
        <v/>
      </c>
      <c r="AE50" t="str">
        <f t="shared" si="25"/>
        <v/>
      </c>
      <c r="AF50" t="str">
        <f t="shared" si="26"/>
        <v/>
      </c>
      <c r="AG50" t="str">
        <f t="shared" si="21"/>
        <v/>
      </c>
    </row>
    <row r="51" spans="2:37" x14ac:dyDescent="0.25">
      <c r="B51" s="66">
        <v>46</v>
      </c>
      <c r="C51" s="41">
        <v>1.4350000000000001E-3</v>
      </c>
      <c r="E51" s="66">
        <v>46</v>
      </c>
      <c r="F51" s="70">
        <v>2.163E-3</v>
      </c>
      <c r="X51" t="str">
        <f t="shared" si="17"/>
        <v/>
      </c>
      <c r="Y51" t="str">
        <f t="shared" si="23"/>
        <v/>
      </c>
      <c r="Z51" t="str">
        <f t="shared" si="24"/>
        <v/>
      </c>
      <c r="AA51" t="str">
        <f t="shared" si="29"/>
        <v/>
      </c>
      <c r="AB51" t="str">
        <f t="shared" si="18"/>
        <v/>
      </c>
      <c r="AC51" t="str">
        <f t="shared" si="19"/>
        <v/>
      </c>
      <c r="AD51" t="str">
        <f t="shared" si="20"/>
        <v/>
      </c>
      <c r="AE51" t="str">
        <f t="shared" si="25"/>
        <v/>
      </c>
      <c r="AF51" t="str">
        <f t="shared" si="26"/>
        <v/>
      </c>
      <c r="AG51" t="str">
        <f t="shared" si="21"/>
        <v/>
      </c>
    </row>
    <row r="52" spans="2:37" x14ac:dyDescent="0.25">
      <c r="B52" s="66">
        <v>47</v>
      </c>
      <c r="C52" s="41">
        <v>1.5250000000000001E-3</v>
      </c>
      <c r="E52" s="66">
        <v>47</v>
      </c>
      <c r="F52" s="69">
        <v>2.2980000000000001E-3</v>
      </c>
      <c r="X52" t="str">
        <f t="shared" si="17"/>
        <v/>
      </c>
      <c r="Y52" t="str">
        <f t="shared" si="23"/>
        <v/>
      </c>
      <c r="Z52" t="str">
        <f t="shared" si="24"/>
        <v/>
      </c>
      <c r="AA52" t="str">
        <f t="shared" si="29"/>
        <v/>
      </c>
      <c r="AB52" t="str">
        <f t="shared" si="18"/>
        <v/>
      </c>
      <c r="AC52" t="str">
        <f t="shared" si="19"/>
        <v/>
      </c>
      <c r="AD52" t="str">
        <f t="shared" si="20"/>
        <v/>
      </c>
      <c r="AE52" t="str">
        <f t="shared" si="25"/>
        <v/>
      </c>
      <c r="AF52" t="str">
        <f t="shared" si="26"/>
        <v/>
      </c>
      <c r="AG52" t="str">
        <f t="shared" si="21"/>
        <v/>
      </c>
    </row>
    <row r="53" spans="2:37" x14ac:dyDescent="0.25">
      <c r="B53" s="66">
        <v>48</v>
      </c>
      <c r="C53" s="41">
        <v>1.6230000000000001E-3</v>
      </c>
      <c r="E53" s="66">
        <v>48</v>
      </c>
      <c r="F53" s="70">
        <v>2.4459999999999998E-3</v>
      </c>
      <c r="X53" t="str">
        <f t="shared" si="17"/>
        <v/>
      </c>
      <c r="Y53" t="str">
        <f t="shared" si="23"/>
        <v/>
      </c>
      <c r="Z53" t="str">
        <f t="shared" si="24"/>
        <v/>
      </c>
      <c r="AA53" t="str">
        <f t="shared" si="29"/>
        <v/>
      </c>
      <c r="AB53" t="str">
        <f t="shared" si="18"/>
        <v/>
      </c>
      <c r="AC53" t="str">
        <f t="shared" si="19"/>
        <v/>
      </c>
      <c r="AD53" t="str">
        <f t="shared" si="20"/>
        <v/>
      </c>
      <c r="AE53" t="str">
        <f t="shared" si="25"/>
        <v/>
      </c>
      <c r="AF53" t="str">
        <f t="shared" si="26"/>
        <v/>
      </c>
      <c r="AG53" t="str">
        <f t="shared" si="21"/>
        <v/>
      </c>
    </row>
    <row r="54" spans="2:37" x14ac:dyDescent="0.25">
      <c r="B54" s="66">
        <v>49</v>
      </c>
      <c r="C54" s="41">
        <v>1.73E-3</v>
      </c>
      <c r="E54" s="66">
        <v>49</v>
      </c>
      <c r="F54" s="69">
        <v>2.6080000000000001E-3</v>
      </c>
      <c r="X54" t="str">
        <f t="shared" si="17"/>
        <v/>
      </c>
      <c r="Y54" t="str">
        <f t="shared" si="23"/>
        <v/>
      </c>
      <c r="Z54" t="str">
        <f t="shared" si="24"/>
        <v/>
      </c>
      <c r="AA54" t="str">
        <f t="shared" si="29"/>
        <v/>
      </c>
      <c r="AB54" t="str">
        <f t="shared" si="18"/>
        <v/>
      </c>
      <c r="AC54" t="str">
        <f t="shared" si="19"/>
        <v/>
      </c>
      <c r="AD54" t="str">
        <f t="shared" si="20"/>
        <v/>
      </c>
      <c r="AE54" t="str">
        <f t="shared" si="25"/>
        <v/>
      </c>
      <c r="AF54" t="str">
        <f>IF(Y54="","",AA54*$AG$32*AB54*AC54*AE54)</f>
        <v/>
      </c>
      <c r="AG54" t="str">
        <f t="shared" si="21"/>
        <v/>
      </c>
    </row>
    <row r="55" spans="2:37" x14ac:dyDescent="0.25">
      <c r="B55" s="66">
        <v>50</v>
      </c>
      <c r="C55" s="41">
        <v>1.848E-3</v>
      </c>
      <c r="E55" s="66">
        <v>50</v>
      </c>
      <c r="F55" s="70">
        <v>2.7850000000000001E-3</v>
      </c>
    </row>
    <row r="56" spans="2:37" x14ac:dyDescent="0.25">
      <c r="B56" s="66">
        <v>51</v>
      </c>
      <c r="C56" s="41">
        <v>1.977E-3</v>
      </c>
      <c r="E56" s="66">
        <v>51</v>
      </c>
      <c r="F56" s="69">
        <v>2.9789999999999999E-3</v>
      </c>
    </row>
    <row r="57" spans="2:37" x14ac:dyDescent="0.25">
      <c r="B57" s="66">
        <v>52</v>
      </c>
      <c r="C57" s="41">
        <v>2.1189999999999998E-3</v>
      </c>
      <c r="E57" s="66">
        <v>52</v>
      </c>
      <c r="F57" s="70">
        <v>3.1930000000000001E-3</v>
      </c>
    </row>
    <row r="58" spans="2:37" ht="18.75" x14ac:dyDescent="0.35">
      <c r="B58" s="66">
        <v>53</v>
      </c>
      <c r="C58" s="41">
        <v>2.274E-3</v>
      </c>
      <c r="E58" s="66">
        <v>53</v>
      </c>
      <c r="F58" s="69">
        <v>3.4269999999999999E-3</v>
      </c>
      <c r="Y58" s="138" t="s">
        <v>116</v>
      </c>
      <c r="Z58" s="62">
        <f>AF61+AG61</f>
        <v>8665.6807556530857</v>
      </c>
      <c r="AB58" s="46" t="s">
        <v>55</v>
      </c>
      <c r="AC58" s="211" t="s">
        <v>89</v>
      </c>
      <c r="AD58" s="212"/>
      <c r="AE58" s="212"/>
      <c r="AF58" s="213"/>
      <c r="AG58" s="18">
        <f>J12+Z3*J12</f>
        <v>2700000</v>
      </c>
    </row>
    <row r="59" spans="2:37" ht="18.75" x14ac:dyDescent="0.35">
      <c r="B59" s="66">
        <v>54</v>
      </c>
      <c r="C59" s="41">
        <v>2.4459999999999998E-3</v>
      </c>
      <c r="E59" s="66">
        <v>54</v>
      </c>
      <c r="F59" s="70">
        <v>3.686E-3</v>
      </c>
      <c r="Y59" s="138" t="s">
        <v>117</v>
      </c>
      <c r="Z59" s="62">
        <f>AK61</f>
        <v>0</v>
      </c>
      <c r="AB59" s="47" t="s">
        <v>88</v>
      </c>
      <c r="AC59" s="211" t="s">
        <v>54</v>
      </c>
      <c r="AD59" s="212"/>
      <c r="AE59" s="212"/>
      <c r="AF59" s="213"/>
      <c r="AG59" s="18">
        <f>Z3*J12</f>
        <v>2550000</v>
      </c>
    </row>
    <row r="60" spans="2:37" x14ac:dyDescent="0.25">
      <c r="B60" s="66">
        <v>55</v>
      </c>
      <c r="C60" s="41">
        <v>2.6350000000000002E-3</v>
      </c>
      <c r="E60" s="66">
        <v>55</v>
      </c>
      <c r="F60" s="69">
        <v>3.9699999999999996E-3</v>
      </c>
    </row>
    <row r="61" spans="2:37" ht="18.75" x14ac:dyDescent="0.35">
      <c r="B61" s="66">
        <v>56</v>
      </c>
      <c r="C61" s="41">
        <v>2.8440000000000002E-3</v>
      </c>
      <c r="E61" s="66">
        <v>56</v>
      </c>
      <c r="F61" s="70">
        <v>4.2849999999999997E-3</v>
      </c>
      <c r="X61" s="75" t="s">
        <v>128</v>
      </c>
      <c r="Y61" s="62">
        <f>Z58-Z59</f>
        <v>8665.6807556530857</v>
      </c>
      <c r="AE61" s="72" t="s">
        <v>99</v>
      </c>
      <c r="AF61" s="62">
        <f>SUM(AF63:AF80)</f>
        <v>4456.635817193016</v>
      </c>
      <c r="AG61" s="7">
        <f>SUM(AG63:AG80)</f>
        <v>4209.0449384600697</v>
      </c>
      <c r="AJ61" s="72" t="s">
        <v>28</v>
      </c>
      <c r="AK61" s="18">
        <f>SUM(AK63:AK70)</f>
        <v>0</v>
      </c>
    </row>
    <row r="62" spans="2:37" ht="21" x14ac:dyDescent="0.4">
      <c r="B62" s="66">
        <v>57</v>
      </c>
      <c r="C62" s="41">
        <v>3.0739999999999999E-3</v>
      </c>
      <c r="E62" s="66">
        <v>57</v>
      </c>
      <c r="F62" s="69">
        <v>4.633E-3</v>
      </c>
      <c r="X62" s="15" t="s">
        <v>10</v>
      </c>
      <c r="Y62" s="15" t="s">
        <v>20</v>
      </c>
      <c r="Z62" s="16" t="s">
        <v>25</v>
      </c>
      <c r="AA62" s="15" t="s">
        <v>27</v>
      </c>
      <c r="AB62" s="15" t="s">
        <v>21</v>
      </c>
      <c r="AC62" s="15" t="s">
        <v>136</v>
      </c>
      <c r="AD62" s="15" t="s">
        <v>137</v>
      </c>
      <c r="AE62" s="15" t="s">
        <v>138</v>
      </c>
      <c r="AF62" s="15" t="s">
        <v>114</v>
      </c>
      <c r="AG62" s="15" t="s">
        <v>115</v>
      </c>
      <c r="AI62" s="15" t="s">
        <v>20</v>
      </c>
      <c r="AJ62" s="15" t="s">
        <v>31</v>
      </c>
      <c r="AK62" s="15" t="s">
        <v>112</v>
      </c>
    </row>
    <row r="63" spans="2:37" x14ac:dyDescent="0.25">
      <c r="B63" s="66">
        <v>58</v>
      </c>
      <c r="C63" s="41">
        <v>3.3289999999999999E-3</v>
      </c>
      <c r="E63" s="66">
        <v>58</v>
      </c>
      <c r="F63" s="70">
        <v>5.0169999999999998E-3</v>
      </c>
      <c r="X63">
        <f t="shared" ref="X63:X80" si="30">IF(Y63="","",IF($J$10+$Z$3&lt;=$J$10+$J$11,$J$10+$Z$3))</f>
        <v>49</v>
      </c>
      <c r="Y63">
        <f>IF($J$11-1-$Z$3&gt;=0,0,"")</f>
        <v>0</v>
      </c>
      <c r="Z63">
        <f>IF(Y63="","",X63+Y63)</f>
        <v>49</v>
      </c>
      <c r="AA63">
        <f>IF(Y63="","",1)</f>
        <v>1</v>
      </c>
      <c r="AB63">
        <f t="shared" ref="AB63:AB80" si="31">IF(Y63="","",POWER(1+VLOOKUP(Y63+1,$H$23:$I$42,2,0),-(Y63+1)))</f>
        <v>0.95410743249689911</v>
      </c>
      <c r="AC63">
        <f t="shared" ref="AC63:AC80" si="32">IF(Y63="","",VLOOKUP(Z63,$B:$C,2,0))</f>
        <v>1.73E-3</v>
      </c>
      <c r="AD63">
        <f t="shared" ref="AD63:AD80" si="33">IF(Y63="","",1-AC63)</f>
        <v>0.99826999999999999</v>
      </c>
      <c r="AE63">
        <f>IF(Y63="","",1)</f>
        <v>1</v>
      </c>
      <c r="AF63">
        <f t="shared" ref="AF63:AF80" si="34">IF(Y63="","",AA63*$AG$58*AB63*AC63*AE63)</f>
        <v>4456.635817193016</v>
      </c>
      <c r="AG63">
        <f t="shared" ref="AG63:AG80" si="35">IF(Y63="","",$AG$59*AB63*AC63*AE63)</f>
        <v>4209.0449384600697</v>
      </c>
      <c r="AI63" t="str">
        <f>IF($J$18-1-$Z$3&gt;=0,0,"")</f>
        <v/>
      </c>
      <c r="AJ63" t="str">
        <f t="shared" ref="AJ63:AJ70" si="36">IF(AI63="","",AB63*(1+VLOOKUP(AI63+1,$H$23:$I$42,2,0)))</f>
        <v/>
      </c>
      <c r="AK63" t="str">
        <f>IF(AI63="","",AJ63*AE63*(8-AI63)*$Y$9)</f>
        <v/>
      </c>
    </row>
    <row r="64" spans="2:37" x14ac:dyDescent="0.25">
      <c r="B64" s="66">
        <v>59</v>
      </c>
      <c r="C64" s="41">
        <v>3.6120000000000002E-3</v>
      </c>
      <c r="E64" s="66">
        <v>59</v>
      </c>
      <c r="F64" s="69">
        <v>5.4440000000000001E-3</v>
      </c>
      <c r="X64" t="str">
        <f t="shared" si="30"/>
        <v/>
      </c>
      <c r="Y64" t="str">
        <f t="shared" ref="Y64:Y80" si="37">IF(Y63="","",IF($J$11-1-$Z$3&gt;Y63,Y63+1,""))</f>
        <v/>
      </c>
      <c r="Z64" t="str">
        <f t="shared" ref="Z64:Z80" si="38">IF(Y64="","",X64+Y64)</f>
        <v/>
      </c>
      <c r="AA64" t="str">
        <f>IF(Y64="","",AA63+1)</f>
        <v/>
      </c>
      <c r="AB64" t="str">
        <f t="shared" si="31"/>
        <v/>
      </c>
      <c r="AC64" t="str">
        <f t="shared" si="32"/>
        <v/>
      </c>
      <c r="AD64" t="str">
        <f t="shared" si="33"/>
        <v/>
      </c>
      <c r="AE64" t="str">
        <f t="shared" ref="AE64:AE80" si="39">IF(Y64="","",AE63*AD63)</f>
        <v/>
      </c>
      <c r="AF64" t="str">
        <f t="shared" si="34"/>
        <v/>
      </c>
      <c r="AG64" t="str">
        <f t="shared" si="35"/>
        <v/>
      </c>
      <c r="AI64" t="str">
        <f t="shared" ref="AI64:AI70" si="40">IF(AI63="","",IF($J$18-1-$Z$3&gt;AI63,AI63+1,""))</f>
        <v/>
      </c>
      <c r="AJ64" t="str">
        <f t="shared" si="36"/>
        <v/>
      </c>
      <c r="AK64" t="str">
        <f t="shared" ref="AK64:AK70" si="41">IF(AI64="","",AJ64*AE64*(8-AI64)*$Y$9)</f>
        <v/>
      </c>
    </row>
    <row r="65" spans="2:37" x14ac:dyDescent="0.25">
      <c r="B65" s="66">
        <v>60</v>
      </c>
      <c r="C65" s="41">
        <v>3.9259999999999998E-3</v>
      </c>
      <c r="E65" s="66">
        <v>60</v>
      </c>
      <c r="F65" s="70">
        <v>5.9170000000000004E-3</v>
      </c>
      <c r="X65" t="str">
        <f t="shared" si="30"/>
        <v/>
      </c>
      <c r="Y65" t="str">
        <f t="shared" si="37"/>
        <v/>
      </c>
      <c r="Z65" t="str">
        <f t="shared" si="38"/>
        <v/>
      </c>
      <c r="AA65" t="str">
        <f t="shared" ref="AA65:AA80" si="42">IF(Y65="","",AA64+1)</f>
        <v/>
      </c>
      <c r="AB65" t="str">
        <f t="shared" si="31"/>
        <v/>
      </c>
      <c r="AC65" t="str">
        <f t="shared" si="32"/>
        <v/>
      </c>
      <c r="AD65" t="str">
        <f t="shared" si="33"/>
        <v/>
      </c>
      <c r="AE65" t="str">
        <f t="shared" si="39"/>
        <v/>
      </c>
      <c r="AF65" t="str">
        <f t="shared" si="34"/>
        <v/>
      </c>
      <c r="AG65" t="str">
        <f t="shared" si="35"/>
        <v/>
      </c>
      <c r="AI65" t="str">
        <f t="shared" si="40"/>
        <v/>
      </c>
      <c r="AJ65" t="str">
        <f t="shared" si="36"/>
        <v/>
      </c>
      <c r="AK65" t="str">
        <f t="shared" si="41"/>
        <v/>
      </c>
    </row>
    <row r="66" spans="2:37" x14ac:dyDescent="0.25">
      <c r="B66" s="66">
        <v>61</v>
      </c>
      <c r="C66" s="41">
        <v>4.2750000000000002E-3</v>
      </c>
      <c r="E66" s="66">
        <v>61</v>
      </c>
      <c r="F66" s="69">
        <v>6.4429999999999999E-3</v>
      </c>
      <c r="X66" t="str">
        <f t="shared" si="30"/>
        <v/>
      </c>
      <c r="Y66" t="str">
        <f t="shared" si="37"/>
        <v/>
      </c>
      <c r="Z66" t="str">
        <f t="shared" si="38"/>
        <v/>
      </c>
      <c r="AA66" t="str">
        <f t="shared" si="42"/>
        <v/>
      </c>
      <c r="AB66" t="str">
        <f t="shared" si="31"/>
        <v/>
      </c>
      <c r="AC66" t="str">
        <f t="shared" si="32"/>
        <v/>
      </c>
      <c r="AD66" t="str">
        <f t="shared" si="33"/>
        <v/>
      </c>
      <c r="AE66" t="str">
        <f t="shared" si="39"/>
        <v/>
      </c>
      <c r="AF66" t="str">
        <f t="shared" si="34"/>
        <v/>
      </c>
      <c r="AG66" t="str">
        <f t="shared" si="35"/>
        <v/>
      </c>
      <c r="AI66" t="str">
        <f t="shared" si="40"/>
        <v/>
      </c>
      <c r="AJ66" t="str">
        <f t="shared" si="36"/>
        <v/>
      </c>
      <c r="AK66" t="str">
        <f t="shared" si="41"/>
        <v/>
      </c>
    </row>
    <row r="67" spans="2:37" x14ac:dyDescent="0.25">
      <c r="B67" s="66">
        <v>62</v>
      </c>
      <c r="C67" s="41">
        <v>4.6639999999999997E-3</v>
      </c>
      <c r="E67" s="66">
        <v>62</v>
      </c>
      <c r="F67" s="70">
        <v>7.0280000000000004E-3</v>
      </c>
      <c r="X67" t="str">
        <f t="shared" si="30"/>
        <v/>
      </c>
      <c r="Y67" t="str">
        <f t="shared" si="37"/>
        <v/>
      </c>
      <c r="Z67" t="str">
        <f t="shared" si="38"/>
        <v/>
      </c>
      <c r="AA67" t="str">
        <f t="shared" si="42"/>
        <v/>
      </c>
      <c r="AB67" t="str">
        <f t="shared" si="31"/>
        <v/>
      </c>
      <c r="AC67" t="str">
        <f t="shared" si="32"/>
        <v/>
      </c>
      <c r="AD67" t="str">
        <f t="shared" si="33"/>
        <v/>
      </c>
      <c r="AE67" t="str">
        <f t="shared" si="39"/>
        <v/>
      </c>
      <c r="AF67" t="str">
        <f t="shared" si="34"/>
        <v/>
      </c>
      <c r="AG67" t="str">
        <f t="shared" si="35"/>
        <v/>
      </c>
      <c r="AI67" t="str">
        <f t="shared" si="40"/>
        <v/>
      </c>
      <c r="AJ67" t="str">
        <f t="shared" si="36"/>
        <v/>
      </c>
      <c r="AK67" t="str">
        <f t="shared" si="41"/>
        <v/>
      </c>
    </row>
    <row r="68" spans="2:37" x14ac:dyDescent="0.25">
      <c r="B68" s="66">
        <v>63</v>
      </c>
      <c r="C68" s="41">
        <v>5.0959999999999998E-3</v>
      </c>
      <c r="E68" s="66">
        <v>63</v>
      </c>
      <c r="F68" s="69">
        <v>7.6800000000000002E-3</v>
      </c>
      <c r="X68" t="str">
        <f t="shared" si="30"/>
        <v/>
      </c>
      <c r="Y68" t="str">
        <f t="shared" si="37"/>
        <v/>
      </c>
      <c r="Z68" t="str">
        <f t="shared" si="38"/>
        <v/>
      </c>
      <c r="AA68" t="str">
        <f t="shared" si="42"/>
        <v/>
      </c>
      <c r="AB68" t="str">
        <f t="shared" si="31"/>
        <v/>
      </c>
      <c r="AC68" t="str">
        <f t="shared" si="32"/>
        <v/>
      </c>
      <c r="AD68" t="str">
        <f t="shared" si="33"/>
        <v/>
      </c>
      <c r="AE68" t="str">
        <f t="shared" si="39"/>
        <v/>
      </c>
      <c r="AF68" t="str">
        <f t="shared" si="34"/>
        <v/>
      </c>
      <c r="AG68" t="str">
        <f t="shared" si="35"/>
        <v/>
      </c>
      <c r="AI68" t="str">
        <f t="shared" si="40"/>
        <v/>
      </c>
      <c r="AJ68" t="str">
        <f t="shared" si="36"/>
        <v/>
      </c>
      <c r="AK68" t="str">
        <f t="shared" si="41"/>
        <v/>
      </c>
    </row>
    <row r="69" spans="2:37" x14ac:dyDescent="0.25">
      <c r="B69" s="66">
        <v>64</v>
      </c>
      <c r="C69" s="41">
        <v>5.5789999999999998E-3</v>
      </c>
      <c r="E69" s="66">
        <v>64</v>
      </c>
      <c r="F69" s="70">
        <v>8.4080000000000005E-3</v>
      </c>
      <c r="X69" t="str">
        <f t="shared" si="30"/>
        <v/>
      </c>
      <c r="Y69" t="str">
        <f t="shared" si="37"/>
        <v/>
      </c>
      <c r="Z69" t="str">
        <f t="shared" si="38"/>
        <v/>
      </c>
      <c r="AA69" t="str">
        <f t="shared" si="42"/>
        <v/>
      </c>
      <c r="AB69" t="str">
        <f t="shared" si="31"/>
        <v/>
      </c>
      <c r="AC69" t="str">
        <f t="shared" si="32"/>
        <v/>
      </c>
      <c r="AD69" t="str">
        <f t="shared" si="33"/>
        <v/>
      </c>
      <c r="AE69" t="str">
        <f t="shared" si="39"/>
        <v/>
      </c>
      <c r="AF69" t="str">
        <f t="shared" si="34"/>
        <v/>
      </c>
      <c r="AG69" t="str">
        <f t="shared" si="35"/>
        <v/>
      </c>
      <c r="AI69" t="str">
        <f t="shared" si="40"/>
        <v/>
      </c>
      <c r="AJ69" t="str">
        <f t="shared" si="36"/>
        <v/>
      </c>
      <c r="AK69" t="str">
        <f t="shared" si="41"/>
        <v/>
      </c>
    </row>
    <row r="70" spans="2:37" x14ac:dyDescent="0.25">
      <c r="B70" s="66">
        <v>65</v>
      </c>
      <c r="C70" s="41">
        <v>6.1190000000000003E-3</v>
      </c>
      <c r="E70" s="66">
        <v>65</v>
      </c>
      <c r="F70" s="69">
        <v>9.2219999999999993E-3</v>
      </c>
      <c r="X70" t="str">
        <f t="shared" si="30"/>
        <v/>
      </c>
      <c r="Y70" t="str">
        <f t="shared" si="37"/>
        <v/>
      </c>
      <c r="Z70" t="str">
        <f t="shared" si="38"/>
        <v/>
      </c>
      <c r="AA70" t="str">
        <f t="shared" si="42"/>
        <v/>
      </c>
      <c r="AB70" t="str">
        <f t="shared" si="31"/>
        <v/>
      </c>
      <c r="AC70" t="str">
        <f t="shared" si="32"/>
        <v/>
      </c>
      <c r="AD70" t="str">
        <f t="shared" si="33"/>
        <v/>
      </c>
      <c r="AE70" t="str">
        <f t="shared" si="39"/>
        <v/>
      </c>
      <c r="AF70" t="str">
        <f t="shared" si="34"/>
        <v/>
      </c>
      <c r="AG70" t="str">
        <f t="shared" si="35"/>
        <v/>
      </c>
      <c r="AI70" t="str">
        <f t="shared" si="40"/>
        <v/>
      </c>
      <c r="AJ70" t="str">
        <f t="shared" si="36"/>
        <v/>
      </c>
      <c r="AK70" t="str">
        <f t="shared" si="41"/>
        <v/>
      </c>
    </row>
    <row r="71" spans="2:37" x14ac:dyDescent="0.25">
      <c r="B71" s="66">
        <v>66</v>
      </c>
      <c r="C71" s="41">
        <v>6.7229999999999998E-3</v>
      </c>
      <c r="E71" s="66">
        <v>66</v>
      </c>
      <c r="F71" s="70">
        <v>1.0132E-2</v>
      </c>
      <c r="X71" t="str">
        <f t="shared" si="30"/>
        <v/>
      </c>
      <c r="Y71" t="str">
        <f t="shared" si="37"/>
        <v/>
      </c>
      <c r="Z71" t="str">
        <f t="shared" si="38"/>
        <v/>
      </c>
      <c r="AA71" t="str">
        <f t="shared" si="42"/>
        <v/>
      </c>
      <c r="AB71" t="str">
        <f t="shared" si="31"/>
        <v/>
      </c>
      <c r="AC71" t="str">
        <f t="shared" si="32"/>
        <v/>
      </c>
      <c r="AD71" t="str">
        <f t="shared" si="33"/>
        <v/>
      </c>
      <c r="AE71" t="str">
        <f t="shared" si="39"/>
        <v/>
      </c>
      <c r="AF71" t="str">
        <f t="shared" si="34"/>
        <v/>
      </c>
      <c r="AG71" t="str">
        <f t="shared" si="35"/>
        <v/>
      </c>
    </row>
    <row r="72" spans="2:37" x14ac:dyDescent="0.25">
      <c r="B72" s="66">
        <v>67</v>
      </c>
      <c r="C72" s="41">
        <v>7.4000000000000003E-3</v>
      </c>
      <c r="E72" s="66">
        <v>67</v>
      </c>
      <c r="F72" s="69">
        <v>1.1152E-2</v>
      </c>
      <c r="X72" t="str">
        <f t="shared" si="30"/>
        <v/>
      </c>
      <c r="Y72" t="str">
        <f t="shared" si="37"/>
        <v/>
      </c>
      <c r="Z72" t="str">
        <f t="shared" si="38"/>
        <v/>
      </c>
      <c r="AA72" t="str">
        <f t="shared" si="42"/>
        <v/>
      </c>
      <c r="AB72" t="str">
        <f t="shared" si="31"/>
        <v/>
      </c>
      <c r="AC72" t="str">
        <f t="shared" si="32"/>
        <v/>
      </c>
      <c r="AD72" t="str">
        <f t="shared" si="33"/>
        <v/>
      </c>
      <c r="AE72" t="str">
        <f t="shared" si="39"/>
        <v/>
      </c>
      <c r="AF72" t="str">
        <f t="shared" si="34"/>
        <v/>
      </c>
      <c r="AG72" t="str">
        <f t="shared" si="35"/>
        <v/>
      </c>
    </row>
    <row r="73" spans="2:37" x14ac:dyDescent="0.25">
      <c r="B73" s="66">
        <v>68</v>
      </c>
      <c r="C73" s="41">
        <v>8.1600000000000006E-3</v>
      </c>
      <c r="E73" s="66">
        <v>68</v>
      </c>
      <c r="F73" s="70">
        <v>1.2298E-2</v>
      </c>
      <c r="X73" t="str">
        <f t="shared" si="30"/>
        <v/>
      </c>
      <c r="Y73" t="str">
        <f t="shared" si="37"/>
        <v/>
      </c>
      <c r="Z73" t="str">
        <f t="shared" si="38"/>
        <v/>
      </c>
      <c r="AA73" t="str">
        <f t="shared" si="42"/>
        <v/>
      </c>
      <c r="AB73" t="str">
        <f t="shared" si="31"/>
        <v/>
      </c>
      <c r="AC73" t="str">
        <f t="shared" si="32"/>
        <v/>
      </c>
      <c r="AD73" t="str">
        <f t="shared" si="33"/>
        <v/>
      </c>
      <c r="AE73" t="str">
        <f t="shared" si="39"/>
        <v/>
      </c>
      <c r="AF73" t="str">
        <f t="shared" si="34"/>
        <v/>
      </c>
      <c r="AG73" t="str">
        <f t="shared" si="35"/>
        <v/>
      </c>
    </row>
    <row r="74" spans="2:37" x14ac:dyDescent="0.25">
      <c r="B74" s="66">
        <v>69</v>
      </c>
      <c r="C74" s="41">
        <v>9.0150000000000004E-3</v>
      </c>
      <c r="E74" s="66">
        <v>69</v>
      </c>
      <c r="F74" s="69">
        <v>1.3584000000000001E-2</v>
      </c>
      <c r="X74" t="str">
        <f t="shared" si="30"/>
        <v/>
      </c>
      <c r="Y74" t="str">
        <f t="shared" si="37"/>
        <v/>
      </c>
      <c r="Z74" t="str">
        <f t="shared" si="38"/>
        <v/>
      </c>
      <c r="AA74" t="str">
        <f t="shared" si="42"/>
        <v/>
      </c>
      <c r="AB74" t="str">
        <f t="shared" si="31"/>
        <v/>
      </c>
      <c r="AC74" t="str">
        <f t="shared" si="32"/>
        <v/>
      </c>
      <c r="AD74" t="str">
        <f t="shared" si="33"/>
        <v/>
      </c>
      <c r="AE74" t="str">
        <f t="shared" si="39"/>
        <v/>
      </c>
      <c r="AF74" t="str">
        <f t="shared" si="34"/>
        <v/>
      </c>
      <c r="AG74" t="str">
        <f t="shared" si="35"/>
        <v/>
      </c>
    </row>
    <row r="75" spans="2:37" x14ac:dyDescent="0.25">
      <c r="B75" s="66">
        <v>70</v>
      </c>
      <c r="C75" s="41">
        <v>9.9769999999999998E-3</v>
      </c>
      <c r="E75" s="66">
        <v>70</v>
      </c>
      <c r="F75" s="70">
        <v>1.5032999999999999E-2</v>
      </c>
      <c r="X75" t="str">
        <f t="shared" si="30"/>
        <v/>
      </c>
      <c r="Y75" t="str">
        <f t="shared" si="37"/>
        <v/>
      </c>
      <c r="Z75" t="str">
        <f t="shared" si="38"/>
        <v/>
      </c>
      <c r="AA75" t="str">
        <f t="shared" si="42"/>
        <v/>
      </c>
      <c r="AB75" t="str">
        <f t="shared" si="31"/>
        <v/>
      </c>
      <c r="AC75" t="str">
        <f t="shared" si="32"/>
        <v/>
      </c>
      <c r="AD75" t="str">
        <f t="shared" si="33"/>
        <v/>
      </c>
      <c r="AE75" t="str">
        <f t="shared" si="39"/>
        <v/>
      </c>
      <c r="AF75" t="str">
        <f t="shared" si="34"/>
        <v/>
      </c>
      <c r="AG75" t="str">
        <f t="shared" si="35"/>
        <v/>
      </c>
    </row>
    <row r="76" spans="2:37" x14ac:dyDescent="0.25">
      <c r="B76" s="66">
        <v>71</v>
      </c>
      <c r="C76" s="41">
        <v>1.1061E-2</v>
      </c>
      <c r="E76" s="66">
        <v>71</v>
      </c>
      <c r="F76" s="69">
        <v>1.6664999999999999E-2</v>
      </c>
      <c r="X76" t="str">
        <f t="shared" si="30"/>
        <v/>
      </c>
      <c r="Y76" t="str">
        <f t="shared" si="37"/>
        <v/>
      </c>
      <c r="Z76" t="str">
        <f t="shared" si="38"/>
        <v/>
      </c>
      <c r="AA76" t="str">
        <f t="shared" si="42"/>
        <v/>
      </c>
      <c r="AB76" t="str">
        <f t="shared" si="31"/>
        <v/>
      </c>
      <c r="AC76" t="str">
        <f t="shared" si="32"/>
        <v/>
      </c>
      <c r="AD76" t="str">
        <f t="shared" si="33"/>
        <v/>
      </c>
      <c r="AE76" t="str">
        <f t="shared" si="39"/>
        <v/>
      </c>
      <c r="AF76" t="str">
        <f t="shared" si="34"/>
        <v/>
      </c>
      <c r="AG76" t="str">
        <f t="shared" si="35"/>
        <v/>
      </c>
    </row>
    <row r="77" spans="2:37" x14ac:dyDescent="0.25">
      <c r="B77" s="66">
        <v>72</v>
      </c>
      <c r="C77" s="41">
        <v>1.2285000000000001E-2</v>
      </c>
      <c r="E77" s="66">
        <v>72</v>
      </c>
      <c r="F77" s="70">
        <v>1.8506000000000002E-2</v>
      </c>
      <c r="X77" t="str">
        <f t="shared" si="30"/>
        <v/>
      </c>
      <c r="Y77" t="str">
        <f t="shared" si="37"/>
        <v/>
      </c>
      <c r="Z77" t="str">
        <f t="shared" si="38"/>
        <v/>
      </c>
      <c r="AA77" t="str">
        <f t="shared" si="42"/>
        <v/>
      </c>
      <c r="AB77" t="str">
        <f t="shared" si="31"/>
        <v/>
      </c>
      <c r="AC77" t="str">
        <f t="shared" si="32"/>
        <v/>
      </c>
      <c r="AD77" t="str">
        <f t="shared" si="33"/>
        <v/>
      </c>
      <c r="AE77" t="str">
        <f t="shared" si="39"/>
        <v/>
      </c>
      <c r="AF77" t="str">
        <f t="shared" si="34"/>
        <v/>
      </c>
      <c r="AG77" t="str">
        <f t="shared" si="35"/>
        <v/>
      </c>
    </row>
    <row r="78" spans="2:37" x14ac:dyDescent="0.25">
      <c r="B78" s="66">
        <v>73</v>
      </c>
      <c r="C78" s="41">
        <v>1.3668E-2</v>
      </c>
      <c r="E78" s="66">
        <v>73</v>
      </c>
      <c r="F78" s="69">
        <v>2.0586E-2</v>
      </c>
      <c r="X78" t="str">
        <f t="shared" si="30"/>
        <v/>
      </c>
      <c r="Y78" t="str">
        <f t="shared" si="37"/>
        <v/>
      </c>
      <c r="Z78" t="str">
        <f t="shared" si="38"/>
        <v/>
      </c>
      <c r="AA78" t="str">
        <f t="shared" si="42"/>
        <v/>
      </c>
      <c r="AB78" t="str">
        <f t="shared" si="31"/>
        <v/>
      </c>
      <c r="AC78" t="str">
        <f t="shared" si="32"/>
        <v/>
      </c>
      <c r="AD78" t="str">
        <f t="shared" si="33"/>
        <v/>
      </c>
      <c r="AE78" t="str">
        <f t="shared" si="39"/>
        <v/>
      </c>
      <c r="AF78" t="str">
        <f t="shared" si="34"/>
        <v/>
      </c>
      <c r="AG78" t="str">
        <f t="shared" si="35"/>
        <v/>
      </c>
    </row>
    <row r="79" spans="2:37" x14ac:dyDescent="0.25">
      <c r="B79" s="66">
        <v>74</v>
      </c>
      <c r="C79" s="41">
        <v>1.5235E-2</v>
      </c>
      <c r="E79" s="66">
        <v>74</v>
      </c>
      <c r="F79" s="69">
        <v>2.2938E-2</v>
      </c>
      <c r="X79" t="str">
        <f t="shared" si="30"/>
        <v/>
      </c>
      <c r="Y79" t="str">
        <f t="shared" si="37"/>
        <v/>
      </c>
      <c r="Z79" t="str">
        <f t="shared" si="38"/>
        <v/>
      </c>
      <c r="AA79" t="str">
        <f t="shared" si="42"/>
        <v/>
      </c>
      <c r="AB79" t="str">
        <f t="shared" si="31"/>
        <v/>
      </c>
      <c r="AC79" t="str">
        <f t="shared" si="32"/>
        <v/>
      </c>
      <c r="AD79" t="str">
        <f t="shared" si="33"/>
        <v/>
      </c>
      <c r="AE79" t="str">
        <f t="shared" si="39"/>
        <v/>
      </c>
      <c r="AF79" t="str">
        <f t="shared" si="34"/>
        <v/>
      </c>
      <c r="AG79" t="str">
        <f t="shared" si="35"/>
        <v/>
      </c>
    </row>
    <row r="80" spans="2:37" x14ac:dyDescent="0.25">
      <c r="B80" s="66">
        <v>75</v>
      </c>
      <c r="C80" s="41">
        <v>1.7009E-2</v>
      </c>
      <c r="E80" s="66">
        <v>75</v>
      </c>
      <c r="F80" s="70">
        <v>2.5602E-2</v>
      </c>
      <c r="X80" t="str">
        <f t="shared" si="30"/>
        <v/>
      </c>
      <c r="Y80" t="str">
        <f t="shared" si="37"/>
        <v/>
      </c>
      <c r="Z80" t="str">
        <f t="shared" si="38"/>
        <v/>
      </c>
      <c r="AA80" t="str">
        <f t="shared" si="42"/>
        <v/>
      </c>
      <c r="AB80" t="str">
        <f t="shared" si="31"/>
        <v/>
      </c>
      <c r="AC80" t="str">
        <f t="shared" si="32"/>
        <v/>
      </c>
      <c r="AD80" t="str">
        <f t="shared" si="33"/>
        <v/>
      </c>
      <c r="AE80" t="str">
        <f t="shared" si="39"/>
        <v/>
      </c>
      <c r="AF80" t="str">
        <f t="shared" si="34"/>
        <v/>
      </c>
      <c r="AG80" t="str">
        <f t="shared" si="35"/>
        <v/>
      </c>
    </row>
    <row r="81" spans="2:6" x14ac:dyDescent="0.25">
      <c r="B81" s="66">
        <v>76</v>
      </c>
      <c r="C81" s="41">
        <v>1.9023999999999999E-2</v>
      </c>
      <c r="E81" s="66">
        <v>76</v>
      </c>
      <c r="F81" s="69">
        <v>2.8621000000000001E-2</v>
      </c>
    </row>
    <row r="82" spans="2:6" x14ac:dyDescent="0.25">
      <c r="B82" s="66">
        <v>77</v>
      </c>
      <c r="C82" s="41">
        <v>2.1312000000000001E-2</v>
      </c>
      <c r="E82" s="66">
        <v>77</v>
      </c>
      <c r="F82" s="70">
        <v>3.2046999999999999E-2</v>
      </c>
    </row>
    <row r="83" spans="2:6" x14ac:dyDescent="0.25">
      <c r="B83" s="66">
        <v>78</v>
      </c>
      <c r="C83" s="41">
        <v>2.3914999999999999E-2</v>
      </c>
      <c r="E83" s="66">
        <v>78</v>
      </c>
      <c r="F83" s="69">
        <v>3.5937999999999998E-2</v>
      </c>
    </row>
    <row r="84" spans="2:6" x14ac:dyDescent="0.25">
      <c r="B84" s="66">
        <v>79</v>
      </c>
      <c r="C84" s="41">
        <v>2.6879E-2</v>
      </c>
      <c r="E84" s="66">
        <v>79</v>
      </c>
      <c r="F84" s="70">
        <v>4.0358999999999999E-2</v>
      </c>
    </row>
    <row r="85" spans="2:6" x14ac:dyDescent="0.25">
      <c r="B85" s="66">
        <v>80</v>
      </c>
      <c r="C85" s="41">
        <v>3.0256999999999999E-2</v>
      </c>
      <c r="E85" s="66">
        <v>80</v>
      </c>
      <c r="F85" s="69">
        <v>4.5386000000000003E-2</v>
      </c>
    </row>
    <row r="86" spans="2:6" x14ac:dyDescent="0.25">
      <c r="B86" s="66">
        <v>81</v>
      </c>
      <c r="C86" s="41">
        <v>3.4110000000000001E-2</v>
      </c>
      <c r="E86" s="66">
        <v>81</v>
      </c>
      <c r="F86" s="70">
        <v>5.1104999999999998E-2</v>
      </c>
    </row>
    <row r="87" spans="2:6" x14ac:dyDescent="0.25">
      <c r="B87" s="66">
        <v>82</v>
      </c>
      <c r="C87" s="41">
        <v>3.8509000000000002E-2</v>
      </c>
      <c r="E87" s="66">
        <v>82</v>
      </c>
      <c r="F87" s="69">
        <v>5.7612999999999998E-2</v>
      </c>
    </row>
    <row r="88" spans="2:6" x14ac:dyDescent="0.25">
      <c r="B88" s="66">
        <v>83</v>
      </c>
      <c r="C88" s="41">
        <v>4.3533000000000002E-2</v>
      </c>
      <c r="E88" s="66">
        <v>83</v>
      </c>
      <c r="F88" s="70">
        <v>6.5017000000000005E-2</v>
      </c>
    </row>
    <row r="89" spans="2:6" x14ac:dyDescent="0.25">
      <c r="B89" s="66">
        <v>84</v>
      </c>
      <c r="C89" s="41">
        <v>4.9273999999999998E-2</v>
      </c>
      <c r="E89" s="66">
        <v>84</v>
      </c>
      <c r="F89" s="69">
        <v>7.3439000000000004E-2</v>
      </c>
    </row>
    <row r="90" spans="2:6" x14ac:dyDescent="0.25">
      <c r="B90" s="66">
        <v>85</v>
      </c>
      <c r="C90" s="41">
        <v>5.5833000000000001E-2</v>
      </c>
      <c r="E90" s="66">
        <v>85</v>
      </c>
      <c r="F90" s="70">
        <v>8.3013000000000003E-2</v>
      </c>
    </row>
    <row r="91" spans="2:6" x14ac:dyDescent="0.25">
      <c r="B91" s="66">
        <v>86</v>
      </c>
      <c r="C91" s="41">
        <v>6.3328999999999996E-2</v>
      </c>
      <c r="E91" s="66">
        <v>86</v>
      </c>
      <c r="F91" s="69">
        <v>9.3885999999999997E-2</v>
      </c>
    </row>
    <row r="92" spans="2:6" x14ac:dyDescent="0.25">
      <c r="B92" s="66">
        <v>87</v>
      </c>
      <c r="C92" s="41">
        <v>7.1888999999999995E-2</v>
      </c>
      <c r="E92" s="66">
        <v>87</v>
      </c>
      <c r="F92" s="70">
        <v>0.106216</v>
      </c>
    </row>
    <row r="93" spans="2:6" x14ac:dyDescent="0.25">
      <c r="B93" s="66">
        <v>88</v>
      </c>
      <c r="C93" s="41">
        <v>8.1659999999999996E-2</v>
      </c>
      <c r="E93" s="66">
        <v>88</v>
      </c>
      <c r="F93" s="69">
        <v>0.120173</v>
      </c>
    </row>
    <row r="94" spans="2:6" x14ac:dyDescent="0.25">
      <c r="B94" s="66">
        <v>89</v>
      </c>
      <c r="C94" s="41">
        <v>9.2798000000000005E-2</v>
      </c>
      <c r="E94" s="66">
        <v>89</v>
      </c>
      <c r="F94" s="70">
        <v>0.135933</v>
      </c>
    </row>
    <row r="95" spans="2:6" x14ac:dyDescent="0.25">
      <c r="B95" s="66">
        <v>90</v>
      </c>
      <c r="C95" s="41">
        <v>0.105476</v>
      </c>
      <c r="E95" s="66">
        <v>90</v>
      </c>
      <c r="F95" s="69">
        <v>0.15367400000000001</v>
      </c>
    </row>
    <row r="96" spans="2:6" x14ac:dyDescent="0.25">
      <c r="B96" s="66">
        <v>91</v>
      </c>
      <c r="C96" s="41">
        <v>0.119875</v>
      </c>
      <c r="E96" s="66">
        <v>91</v>
      </c>
      <c r="F96" s="70">
        <v>0.17357</v>
      </c>
    </row>
    <row r="97" spans="2:6" x14ac:dyDescent="0.25">
      <c r="B97" s="66">
        <v>92</v>
      </c>
      <c r="C97" s="41">
        <v>0.136184</v>
      </c>
      <c r="E97" s="66">
        <v>92</v>
      </c>
      <c r="F97" s="69">
        <v>0.19578300000000001</v>
      </c>
    </row>
    <row r="98" spans="2:6" x14ac:dyDescent="0.25">
      <c r="B98" s="66">
        <v>93</v>
      </c>
      <c r="C98" s="41">
        <v>0.15459400000000001</v>
      </c>
      <c r="E98" s="66">
        <v>93</v>
      </c>
      <c r="F98" s="70">
        <v>0.22044900000000001</v>
      </c>
    </row>
    <row r="99" spans="2:6" x14ac:dyDescent="0.25">
      <c r="B99" s="66">
        <v>94</v>
      </c>
      <c r="C99" s="41">
        <v>0.175291</v>
      </c>
      <c r="E99" s="66">
        <v>94</v>
      </c>
      <c r="F99" s="69">
        <v>0.247667</v>
      </c>
    </row>
    <row r="100" spans="2:6" x14ac:dyDescent="0.25">
      <c r="B100" s="66">
        <v>95</v>
      </c>
      <c r="C100" s="41">
        <v>0.19844100000000001</v>
      </c>
      <c r="E100" s="66">
        <v>95</v>
      </c>
      <c r="F100" s="70">
        <v>0.27748400000000001</v>
      </c>
    </row>
    <row r="101" spans="2:6" x14ac:dyDescent="0.25">
      <c r="B101" s="66">
        <v>96</v>
      </c>
      <c r="C101" s="41">
        <v>0.22418399999999999</v>
      </c>
      <c r="E101" s="66">
        <v>96</v>
      </c>
      <c r="F101" s="69">
        <v>0.30987599999999998</v>
      </c>
    </row>
    <row r="102" spans="2:6" x14ac:dyDescent="0.25">
      <c r="B102" s="66">
        <v>97</v>
      </c>
      <c r="C102" s="41">
        <v>0.25261299999999998</v>
      </c>
      <c r="E102" s="66">
        <v>97</v>
      </c>
      <c r="F102" s="70">
        <v>0.34473799999999999</v>
      </c>
    </row>
    <row r="103" spans="2:6" x14ac:dyDescent="0.25">
      <c r="B103" s="66">
        <v>98</v>
      </c>
      <c r="C103" s="41">
        <v>0.28376000000000001</v>
      </c>
      <c r="E103" s="66">
        <v>98</v>
      </c>
      <c r="F103" s="69">
        <v>0.38186900000000001</v>
      </c>
    </row>
    <row r="104" spans="2:6" x14ac:dyDescent="0.25">
      <c r="B104" s="66">
        <v>99</v>
      </c>
      <c r="C104" s="41">
        <v>0.31757600000000002</v>
      </c>
      <c r="E104" s="66">
        <v>99</v>
      </c>
      <c r="F104" s="70">
        <v>0.42096699999999998</v>
      </c>
    </row>
    <row r="105" spans="2:6" x14ac:dyDescent="0.25">
      <c r="B105" s="66">
        <v>100</v>
      </c>
      <c r="C105" s="41">
        <v>0.35391899999999998</v>
      </c>
      <c r="E105" s="66">
        <v>100</v>
      </c>
      <c r="F105" s="69">
        <v>0.46162700000000001</v>
      </c>
    </row>
    <row r="106" spans="2:6" x14ac:dyDescent="0.25">
      <c r="B106" s="66">
        <v>101</v>
      </c>
      <c r="C106" s="41">
        <v>0.39254</v>
      </c>
      <c r="E106" s="66">
        <v>101</v>
      </c>
      <c r="F106" s="70">
        <v>0.50335399999999997</v>
      </c>
    </row>
    <row r="107" spans="2:6" x14ac:dyDescent="0.25">
      <c r="B107" s="66">
        <v>102</v>
      </c>
      <c r="C107" s="41">
        <v>0.43307800000000002</v>
      </c>
      <c r="E107" s="66">
        <v>102</v>
      </c>
      <c r="F107" s="69">
        <v>0.54558300000000004</v>
      </c>
    </row>
    <row r="108" spans="2:6" x14ac:dyDescent="0.25">
      <c r="B108" s="66">
        <v>103</v>
      </c>
      <c r="C108" s="41">
        <v>0.47506799999999999</v>
      </c>
      <c r="E108" s="66">
        <v>103</v>
      </c>
      <c r="F108" s="70">
        <v>0.58770299999999998</v>
      </c>
    </row>
    <row r="109" spans="2:6" x14ac:dyDescent="0.25">
      <c r="B109" s="66">
        <v>104</v>
      </c>
      <c r="C109" s="41">
        <v>0.51794899999999999</v>
      </c>
      <c r="E109" s="66">
        <v>104</v>
      </c>
      <c r="F109" s="69">
        <v>0.62909700000000002</v>
      </c>
    </row>
    <row r="110" spans="2:6" x14ac:dyDescent="0.25">
      <c r="B110" s="66">
        <v>105</v>
      </c>
      <c r="C110" s="41">
        <v>0.56109900000000001</v>
      </c>
      <c r="E110" s="66">
        <v>105</v>
      </c>
      <c r="F110" s="70">
        <v>0.66917199999999999</v>
      </c>
    </row>
    <row r="111" spans="2:6" x14ac:dyDescent="0.25">
      <c r="B111" s="66">
        <v>106</v>
      </c>
      <c r="C111" s="41">
        <v>0.60386099999999998</v>
      </c>
      <c r="E111" s="66">
        <v>106</v>
      </c>
      <c r="F111" s="69">
        <v>0.70739799999999997</v>
      </c>
    </row>
    <row r="112" spans="2:6" x14ac:dyDescent="0.25">
      <c r="B112" s="66">
        <v>107</v>
      </c>
      <c r="C112" s="41">
        <v>0.64558899999999997</v>
      </c>
      <c r="E112" s="66">
        <v>107</v>
      </c>
      <c r="F112" s="70">
        <v>0.74333199999999999</v>
      </c>
    </row>
    <row r="113" spans="2:6" x14ac:dyDescent="0.25">
      <c r="B113" s="66">
        <v>108</v>
      </c>
      <c r="C113" s="41">
        <v>0.68568200000000001</v>
      </c>
      <c r="E113" s="66">
        <v>108</v>
      </c>
      <c r="F113" s="69">
        <v>0.77664100000000003</v>
      </c>
    </row>
    <row r="114" spans="2:6" x14ac:dyDescent="0.25">
      <c r="B114" s="66">
        <v>109</v>
      </c>
      <c r="C114" s="41">
        <v>0.72362000000000004</v>
      </c>
      <c r="E114" s="66">
        <v>109</v>
      </c>
      <c r="F114" s="70">
        <v>0.80710300000000001</v>
      </c>
    </row>
    <row r="115" spans="2:6" x14ac:dyDescent="0.25">
      <c r="B115" s="66">
        <v>110</v>
      </c>
      <c r="C115" s="41">
        <v>0.75899099999999997</v>
      </c>
      <c r="E115" s="66">
        <v>110</v>
      </c>
      <c r="F115" s="69">
        <v>0.83461099999999999</v>
      </c>
    </row>
    <row r="116" spans="2:6" x14ac:dyDescent="0.25">
      <c r="B116" s="66">
        <v>111</v>
      </c>
      <c r="C116" s="41">
        <v>1</v>
      </c>
    </row>
  </sheetData>
  <mergeCells count="18">
    <mergeCell ref="B2:C2"/>
    <mergeCell ref="H16:I16"/>
    <mergeCell ref="H9:I9"/>
    <mergeCell ref="H2:H6"/>
    <mergeCell ref="I2:L6"/>
    <mergeCell ref="E2:F2"/>
    <mergeCell ref="E3:E4"/>
    <mergeCell ref="F3:F4"/>
    <mergeCell ref="AC58:AF58"/>
    <mergeCell ref="AC59:AF59"/>
    <mergeCell ref="L8:M9"/>
    <mergeCell ref="B3:B4"/>
    <mergeCell ref="C3:C4"/>
    <mergeCell ref="AC32:AF32"/>
    <mergeCell ref="AC33:AF33"/>
    <mergeCell ref="Y3:Y4"/>
    <mergeCell ref="Z3:Z4"/>
    <mergeCell ref="H23:I23"/>
  </mergeCells>
  <conditionalFormatting sqref="X37:AG54 X63:AG80">
    <cfRule type="expression" dxfId="8" priority="15">
      <formula>$X37&lt;&gt;""</formula>
    </cfRule>
  </conditionalFormatting>
  <conditionalFormatting sqref="AJ37:AK44">
    <cfRule type="expression" dxfId="7" priority="21">
      <formula>$AJ37&lt;&gt;""</formula>
    </cfRule>
  </conditionalFormatting>
  <conditionalFormatting sqref="AI37:AK44 AI63:AK70 AI11:AJ18">
    <cfRule type="expression" dxfId="6" priority="13">
      <formula>$AI11&lt;&gt;""</formula>
    </cfRule>
  </conditionalFormatting>
  <conditionalFormatting sqref="X11:AF28">
    <cfRule type="expression" dxfId="5" priority="6">
      <formula>$X11&lt;&gt;""</formula>
    </cfRule>
  </conditionalFormatting>
  <conditionalFormatting sqref="AH11:AJ18">
    <cfRule type="expression" dxfId="4" priority="27">
      <formula>$AH11&lt;&gt;""</formula>
    </cfRule>
  </conditionalFormatting>
  <conditionalFormatting sqref="AL11:AN28">
    <cfRule type="expression" dxfId="3" priority="28">
      <formula>$AL11&lt;&gt;""</formula>
    </cfRule>
  </conditionalFormatting>
  <dataValidations count="1">
    <dataValidation type="whole" allowBlank="1" showInputMessage="1" showErrorMessage="1" errorTitle="Error" error="Selecciona una edad dentro del rango (De 30 a 45 años)" sqref="J10" xr:uid="{DC93A050-9834-4C14-BEFD-B520E44FF2CC}">
      <formula1>30</formula1>
      <formula2>45</formula2>
    </dataValidation>
  </dataValidations>
  <pageMargins left="0.7" right="0.7" top="0.75" bottom="0.75" header="0.3" footer="0.3"/>
  <pageSetup orientation="portrait" horizontalDpi="300" verticalDpi="300" r:id="rId1"/>
  <ignoredErrors>
    <ignoredError sqref="V11:V2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uracion_y_Desviacion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F51B8-6322-4326-9E5B-39B19EEF0EA9}">
  <sheetPr codeName="Hoja3"/>
  <dimension ref="B2:BQ117"/>
  <sheetViews>
    <sheetView tabSelected="1" topLeftCell="S1" zoomScale="55" zoomScaleNormal="55" workbookViewId="0">
      <selection activeCell="U5" sqref="U5"/>
    </sheetView>
  </sheetViews>
  <sheetFormatPr baseColWidth="10" defaultRowHeight="15" x14ac:dyDescent="0.25"/>
  <cols>
    <col min="1" max="1" width="2.7109375" style="83" customWidth="1"/>
    <col min="2" max="2" width="11.140625" style="83" customWidth="1"/>
    <col min="3" max="3" width="14.140625" style="83" customWidth="1"/>
    <col min="4" max="4" width="2" style="83" customWidth="1"/>
    <col min="5" max="5" width="11.7109375" style="83" customWidth="1"/>
    <col min="6" max="6" width="16.28515625" style="83" customWidth="1"/>
    <col min="7" max="7" width="1.85546875" style="83" customWidth="1"/>
    <col min="8" max="8" width="11" style="83" customWidth="1"/>
    <col min="9" max="9" width="18.42578125" style="83" customWidth="1"/>
    <col min="10" max="10" width="2" style="83" customWidth="1"/>
    <col min="11" max="11" width="13.5703125" style="83" customWidth="1"/>
    <col min="12" max="12" width="16.85546875" style="83" customWidth="1"/>
    <col min="13" max="13" width="4" style="83" customWidth="1"/>
    <col min="14" max="14" width="26.85546875" style="83" bestFit="1" customWidth="1"/>
    <col min="15" max="15" width="23.5703125" style="83" customWidth="1"/>
    <col min="16" max="16" width="20.140625" style="83" customWidth="1"/>
    <col min="17" max="17" width="11.42578125" style="83"/>
    <col min="18" max="18" width="19.7109375" style="83" customWidth="1"/>
    <col min="19" max="19" width="11" style="83" customWidth="1"/>
    <col min="20" max="20" width="8.42578125" style="83" customWidth="1"/>
    <col min="21" max="21" width="20.85546875" style="83" customWidth="1"/>
    <col min="22" max="22" width="17.7109375" style="83" bestFit="1" customWidth="1"/>
    <col min="23" max="23" width="22" style="83" customWidth="1"/>
    <col min="24" max="24" width="22.140625" style="83" customWidth="1"/>
    <col min="25" max="25" width="17" style="83" customWidth="1"/>
    <col min="26" max="26" width="18.42578125" style="83" customWidth="1"/>
    <col min="27" max="28" width="16.140625" style="83" customWidth="1"/>
    <col min="29" max="29" width="18.42578125" style="83" customWidth="1"/>
    <col min="30" max="30" width="16.7109375" style="83" customWidth="1"/>
    <col min="31" max="31" width="17.28515625" style="83" customWidth="1"/>
    <col min="32" max="32" width="35.42578125" style="83" customWidth="1"/>
    <col min="33" max="33" width="57.28515625" style="83" customWidth="1"/>
    <col min="34" max="34" width="38.7109375" style="83" customWidth="1"/>
    <col min="35" max="35" width="36.28515625" style="83" customWidth="1"/>
    <col min="36" max="36" width="39.28515625" style="83" customWidth="1"/>
    <col min="37" max="37" width="40" style="83" customWidth="1"/>
    <col min="38" max="38" width="33.140625" style="83" customWidth="1"/>
    <col min="39" max="39" width="13.28515625" style="83" customWidth="1"/>
    <col min="40" max="40" width="16.28515625" style="83" customWidth="1"/>
    <col min="41" max="41" width="14.85546875" style="83" customWidth="1"/>
    <col min="42" max="42" width="15.140625" style="83" customWidth="1"/>
    <col min="43" max="43" width="22.5703125" style="83" customWidth="1"/>
    <col min="44" max="44" width="18.5703125" style="83" customWidth="1"/>
    <col min="45" max="45" width="12" style="83" customWidth="1"/>
    <col min="46" max="46" width="17.5703125" style="83" customWidth="1"/>
    <col min="47" max="47" width="16.42578125" style="83" customWidth="1"/>
    <col min="48" max="48" width="34.5703125" style="83" customWidth="1"/>
    <col min="49" max="49" width="12" style="83" customWidth="1"/>
    <col min="50" max="50" width="15.7109375" style="83" customWidth="1"/>
    <col min="51" max="51" width="16.28515625" style="83" customWidth="1"/>
    <col min="52" max="52" width="14.85546875" style="83" customWidth="1"/>
    <col min="53" max="53" width="11.7109375" style="83" customWidth="1"/>
    <col min="54" max="54" width="17.42578125" style="83" customWidth="1"/>
    <col min="55" max="55" width="20.140625" style="83" customWidth="1"/>
    <col min="56" max="56" width="17.7109375" style="83" customWidth="1"/>
    <col min="57" max="57" width="16" style="83" customWidth="1"/>
    <col min="58" max="58" width="17.140625" style="83" customWidth="1"/>
    <col min="59" max="60" width="11.42578125" style="83"/>
    <col min="61" max="62" width="7.85546875" style="83" customWidth="1"/>
    <col min="63" max="63" width="15.7109375" style="83" customWidth="1"/>
    <col min="64" max="64" width="17.28515625" style="83" customWidth="1"/>
    <col min="65" max="65" width="16.85546875" style="83" customWidth="1"/>
    <col min="66" max="66" width="17.85546875" style="83" customWidth="1"/>
    <col min="67" max="67" width="17" style="83" customWidth="1"/>
    <col min="68" max="68" width="15.5703125" style="83" customWidth="1"/>
    <col min="69" max="69" width="18.42578125" style="83" bestFit="1" customWidth="1"/>
    <col min="70" max="16384" width="11.42578125" style="83"/>
  </cols>
  <sheetData>
    <row r="2" spans="2:69" ht="16.5" customHeight="1" x14ac:dyDescent="0.25">
      <c r="W2" s="84"/>
      <c r="X2" s="84"/>
      <c r="AQ2" s="85" t="s">
        <v>90</v>
      </c>
      <c r="AR2" s="86">
        <f>1000</f>
        <v>1000</v>
      </c>
    </row>
    <row r="3" spans="2:69" ht="16.5" customHeight="1" x14ac:dyDescent="0.25">
      <c r="B3" s="225" t="s">
        <v>67</v>
      </c>
      <c r="C3" s="226"/>
      <c r="E3" s="225" t="s">
        <v>65</v>
      </c>
      <c r="F3" s="226"/>
      <c r="H3" s="225" t="s">
        <v>64</v>
      </c>
      <c r="I3" s="226"/>
      <c r="K3" s="225" t="s">
        <v>66</v>
      </c>
      <c r="L3" s="226"/>
      <c r="N3" s="231" t="s">
        <v>4</v>
      </c>
      <c r="O3" s="238"/>
      <c r="P3" s="239"/>
      <c r="Q3" s="239"/>
      <c r="R3" s="240"/>
      <c r="S3" s="87"/>
      <c r="W3" s="97" t="s">
        <v>58</v>
      </c>
      <c r="X3" s="92">
        <f>IF(U5=18,0,AB4-AB5)</f>
        <v>2945.5239156313837</v>
      </c>
      <c r="Y3" s="84"/>
    </row>
    <row r="4" spans="2:69" ht="18" x14ac:dyDescent="0.25">
      <c r="B4" s="228" t="s">
        <v>2</v>
      </c>
      <c r="C4" s="228" t="s">
        <v>3</v>
      </c>
      <c r="E4" s="227" t="s">
        <v>9</v>
      </c>
      <c r="F4" s="88" t="s">
        <v>62</v>
      </c>
      <c r="G4" s="89"/>
      <c r="H4" s="88" t="s">
        <v>9</v>
      </c>
      <c r="I4" s="88" t="s">
        <v>63</v>
      </c>
      <c r="J4" s="90"/>
      <c r="K4" s="227" t="s">
        <v>59</v>
      </c>
      <c r="L4" s="227"/>
      <c r="N4" s="232"/>
      <c r="O4" s="241"/>
      <c r="P4" s="242"/>
      <c r="Q4" s="242"/>
      <c r="R4" s="243"/>
      <c r="S4" s="87"/>
      <c r="W4" s="97" t="s">
        <v>181</v>
      </c>
      <c r="X4" s="92">
        <f>VLOOKUP(U5,'Margen de Riesgo'!L10:M29,2,0)</f>
        <v>660492647.17962241</v>
      </c>
      <c r="AA4" s="91" t="s">
        <v>56</v>
      </c>
      <c r="AB4" s="92">
        <f>IF($U$5=0,SUM(AG4:AG5)+SUM(AI4:AI5)+SUM(AK4:AK5)+AL5+AN5+AQ5+AR5+AR2,SUM(AG4:AG5)+SUM(AI4:AI5)+SUM(AK4:AK5)+AL5+AN5+AQ5+AR5)</f>
        <v>19270.310418512057</v>
      </c>
      <c r="AF4" s="85" t="s">
        <v>80</v>
      </c>
      <c r="AG4" s="92">
        <f>SUM(AF11:AF28)</f>
        <v>2591.69988410005</v>
      </c>
      <c r="AH4" s="85" t="s">
        <v>83</v>
      </c>
      <c r="AI4" s="92">
        <f>SUM(AH11:AH28)</f>
        <v>909.80852097061359</v>
      </c>
      <c r="AJ4" s="85" t="s">
        <v>84</v>
      </c>
      <c r="AK4" s="92">
        <f>SUM(AJ11:AJ28)</f>
        <v>4095.9170517524458</v>
      </c>
      <c r="AL4" s="85" t="s">
        <v>125</v>
      </c>
      <c r="AN4" s="85" t="s">
        <v>28</v>
      </c>
      <c r="AQ4" s="85" t="s">
        <v>28</v>
      </c>
      <c r="AR4" s="85" t="s">
        <v>28</v>
      </c>
      <c r="AW4" s="85" t="s">
        <v>28</v>
      </c>
    </row>
    <row r="5" spans="2:69" ht="30" x14ac:dyDescent="0.3">
      <c r="B5" s="229"/>
      <c r="C5" s="229"/>
      <c r="E5" s="227"/>
      <c r="F5" s="88">
        <v>2013</v>
      </c>
      <c r="G5" s="89"/>
      <c r="H5" s="88">
        <v>0</v>
      </c>
      <c r="I5" s="93">
        <v>9.3700000000000001E-4</v>
      </c>
      <c r="K5" s="88" t="s">
        <v>60</v>
      </c>
      <c r="L5" s="88" t="s">
        <v>61</v>
      </c>
      <c r="N5" s="232"/>
      <c r="O5" s="244"/>
      <c r="P5" s="245"/>
      <c r="Q5" s="245"/>
      <c r="R5" s="246"/>
      <c r="S5" s="94"/>
      <c r="T5" s="95" t="s">
        <v>20</v>
      </c>
      <c r="U5" s="96">
        <v>0</v>
      </c>
      <c r="W5" s="97" t="s">
        <v>126</v>
      </c>
      <c r="X5" s="153">
        <f>IF(U5=18,0,X3+X4)</f>
        <v>660495592.70353806</v>
      </c>
      <c r="Y5" s="84"/>
      <c r="Z5" s="84"/>
      <c r="AA5" s="91" t="s">
        <v>57</v>
      </c>
      <c r="AB5" s="92">
        <f>SUM(AW11:AW18)</f>
        <v>16324.786502880674</v>
      </c>
      <c r="AC5" s="84"/>
      <c r="AD5" s="84"/>
      <c r="AF5" s="85" t="s">
        <v>82</v>
      </c>
      <c r="AG5" s="92">
        <f>SUM(AG11:AG28)</f>
        <v>0</v>
      </c>
      <c r="AH5" s="85" t="s">
        <v>81</v>
      </c>
      <c r="AI5" s="92">
        <f>SUM(AI11:AI28)</f>
        <v>0</v>
      </c>
      <c r="AJ5" s="85" t="s">
        <v>85</v>
      </c>
      <c r="AK5" s="92">
        <f>SUM(AK11:AK28)</f>
        <v>0</v>
      </c>
      <c r="AL5" s="92">
        <f>SUM(AL11:AL28)</f>
        <v>2757.9830350224333</v>
      </c>
      <c r="AN5" s="92">
        <f>SUM(AN11:AN14)</f>
        <v>5876.4528571136771</v>
      </c>
      <c r="AQ5" s="92">
        <f>SUM(AQ11:AQ28)</f>
        <v>1923.065159955506</v>
      </c>
      <c r="AR5" s="92">
        <f>SUM(AR11:AR28)</f>
        <v>115.3839095973304</v>
      </c>
      <c r="AW5" s="96">
        <f>SUM(AW11:AW18)</f>
        <v>16324.786502880674</v>
      </c>
    </row>
    <row r="6" spans="2:69" ht="16.5" customHeight="1" x14ac:dyDescent="0.3">
      <c r="B6" s="98">
        <v>0</v>
      </c>
      <c r="C6" s="99">
        <v>4.3300000000000001E-4</v>
      </c>
      <c r="E6" s="88">
        <v>0</v>
      </c>
      <c r="F6" s="100">
        <v>0</v>
      </c>
      <c r="H6" s="88">
        <v>1</v>
      </c>
      <c r="I6" s="101">
        <v>9.3800000000000003E-4</v>
      </c>
      <c r="K6" s="98">
        <v>1</v>
      </c>
      <c r="L6" s="99">
        <v>0.37080000000000002</v>
      </c>
      <c r="N6" s="232"/>
      <c r="O6" s="244"/>
      <c r="P6" s="245"/>
      <c r="Q6" s="245"/>
      <c r="R6" s="246"/>
      <c r="S6" s="94"/>
    </row>
    <row r="7" spans="2:69" ht="16.5" x14ac:dyDescent="0.3">
      <c r="B7" s="98">
        <v>1</v>
      </c>
      <c r="C7" s="99">
        <v>4.3300000000000001E-4</v>
      </c>
      <c r="E7" s="88">
        <v>1</v>
      </c>
      <c r="F7" s="102">
        <v>0</v>
      </c>
      <c r="H7" s="88">
        <v>2</v>
      </c>
      <c r="I7" s="93">
        <v>9.3800000000000003E-4</v>
      </c>
      <c r="K7" s="103">
        <v>2</v>
      </c>
      <c r="L7" s="104">
        <v>0.24010000000000001</v>
      </c>
      <c r="N7" s="233"/>
      <c r="O7" s="247"/>
      <c r="P7" s="248"/>
      <c r="Q7" s="248"/>
      <c r="R7" s="249"/>
      <c r="S7" s="94"/>
      <c r="AF7" s="107"/>
      <c r="AG7" s="84"/>
      <c r="AH7" s="84"/>
      <c r="AI7" s="84"/>
      <c r="AJ7" s="84"/>
      <c r="AK7" s="84"/>
      <c r="AL7" s="84"/>
      <c r="AR7" s="107"/>
    </row>
    <row r="8" spans="2:69" ht="16.5" x14ac:dyDescent="0.3">
      <c r="B8" s="98">
        <v>2</v>
      </c>
      <c r="C8" s="99">
        <v>4.3399999999999998E-4</v>
      </c>
      <c r="E8" s="88">
        <v>2</v>
      </c>
      <c r="F8" s="100">
        <v>0</v>
      </c>
      <c r="H8" s="88">
        <v>3</v>
      </c>
      <c r="I8" s="101">
        <v>9.3899999999999995E-4</v>
      </c>
      <c r="K8" s="98">
        <v>3</v>
      </c>
      <c r="L8" s="99">
        <v>0.1862</v>
      </c>
      <c r="N8" s="108"/>
      <c r="O8" s="94"/>
      <c r="P8" s="94"/>
      <c r="Q8" s="94"/>
      <c r="R8" s="94"/>
      <c r="S8" s="94"/>
      <c r="T8" s="257" t="s">
        <v>49</v>
      </c>
      <c r="U8" s="258"/>
      <c r="V8" s="259"/>
      <c r="W8" s="263" t="s">
        <v>50</v>
      </c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4"/>
      <c r="AJ8" s="264"/>
      <c r="AK8" s="264"/>
      <c r="AL8" s="265"/>
      <c r="AR8" s="109"/>
      <c r="AY8" s="256" t="s">
        <v>159</v>
      </c>
      <c r="AZ8" s="256"/>
      <c r="BA8" s="256"/>
      <c r="BB8" s="256"/>
      <c r="BC8" s="256"/>
      <c r="BD8" s="256"/>
      <c r="BE8" s="256"/>
      <c r="BF8" s="256"/>
      <c r="BH8" s="256" t="s">
        <v>158</v>
      </c>
      <c r="BI8" s="256"/>
      <c r="BJ8" s="256"/>
      <c r="BK8" s="256"/>
      <c r="BL8" s="256"/>
      <c r="BM8" s="256"/>
      <c r="BN8" s="256"/>
      <c r="BO8" s="256"/>
      <c r="BP8" s="256"/>
      <c r="BQ8" s="256"/>
    </row>
    <row r="9" spans="2:69" ht="16.5" x14ac:dyDescent="0.3">
      <c r="B9" s="98">
        <v>3</v>
      </c>
      <c r="C9" s="99">
        <v>4.3399999999999998E-4</v>
      </c>
      <c r="E9" s="88">
        <v>3</v>
      </c>
      <c r="F9" s="102">
        <v>0</v>
      </c>
      <c r="H9" s="88">
        <v>4</v>
      </c>
      <c r="I9" s="93">
        <v>9.41E-4</v>
      </c>
      <c r="K9" s="103">
        <v>4</v>
      </c>
      <c r="L9" s="104">
        <v>0.1555</v>
      </c>
      <c r="N9" s="110"/>
      <c r="O9" s="110"/>
      <c r="P9" s="110"/>
      <c r="Q9" s="110"/>
      <c r="R9" s="110"/>
      <c r="S9" s="110"/>
      <c r="T9" s="260"/>
      <c r="U9" s="261"/>
      <c r="V9" s="262"/>
      <c r="W9" s="266" t="s">
        <v>86</v>
      </c>
      <c r="X9" s="267"/>
      <c r="Y9" s="267"/>
      <c r="Z9" s="267"/>
      <c r="AA9" s="267"/>
      <c r="AB9" s="267"/>
      <c r="AC9" s="267"/>
      <c r="AD9" s="267"/>
      <c r="AE9" s="268"/>
      <c r="AF9" s="266" t="s">
        <v>76</v>
      </c>
      <c r="AG9" s="268"/>
      <c r="AH9" s="266" t="s">
        <v>77</v>
      </c>
      <c r="AI9" s="268"/>
      <c r="AJ9" s="266" t="s">
        <v>78</v>
      </c>
      <c r="AK9" s="268"/>
      <c r="AL9" s="129" t="s">
        <v>79</v>
      </c>
      <c r="AM9" s="250" t="s">
        <v>53</v>
      </c>
      <c r="AN9" s="251"/>
      <c r="AO9" s="251"/>
      <c r="AP9" s="251"/>
      <c r="AQ9" s="251"/>
      <c r="AR9" s="252"/>
      <c r="AS9" s="253" t="s">
        <v>52</v>
      </c>
      <c r="AT9" s="254"/>
      <c r="AU9" s="254"/>
      <c r="AV9" s="254"/>
      <c r="AW9" s="255"/>
      <c r="AY9" s="256"/>
      <c r="AZ9" s="256"/>
      <c r="BA9" s="256"/>
      <c r="BB9" s="256"/>
      <c r="BC9" s="256"/>
      <c r="BD9" s="256"/>
      <c r="BE9" s="256"/>
      <c r="BF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</row>
    <row r="10" spans="2:69" ht="21" x14ac:dyDescent="0.4">
      <c r="B10" s="98">
        <v>4</v>
      </c>
      <c r="C10" s="99">
        <v>4.35E-4</v>
      </c>
      <c r="E10" s="88">
        <v>4</v>
      </c>
      <c r="F10" s="100">
        <v>0</v>
      </c>
      <c r="H10" s="88">
        <v>5</v>
      </c>
      <c r="I10" s="101">
        <v>9.4300000000000004E-4</v>
      </c>
      <c r="K10" s="98">
        <v>5</v>
      </c>
      <c r="L10" s="99">
        <v>0.13519999999999999</v>
      </c>
      <c r="N10" s="234" t="s">
        <v>8</v>
      </c>
      <c r="O10" s="235"/>
      <c r="P10" s="110"/>
      <c r="Q10" s="110"/>
      <c r="T10" s="111" t="s">
        <v>10</v>
      </c>
      <c r="U10" s="111" t="s">
        <v>20</v>
      </c>
      <c r="V10" s="112" t="s">
        <v>25</v>
      </c>
      <c r="W10" s="111" t="s">
        <v>27</v>
      </c>
      <c r="X10" s="111" t="s">
        <v>21</v>
      </c>
      <c r="Y10" s="111" t="s">
        <v>151</v>
      </c>
      <c r="Z10" s="111" t="s">
        <v>152</v>
      </c>
      <c r="AA10" s="111" t="s">
        <v>153</v>
      </c>
      <c r="AB10" s="111" t="s">
        <v>154</v>
      </c>
      <c r="AC10" s="111" t="s">
        <v>155</v>
      </c>
      <c r="AD10" s="111" t="s">
        <v>156</v>
      </c>
      <c r="AE10" s="111" t="s">
        <v>157</v>
      </c>
      <c r="AF10" s="111" t="s">
        <v>70</v>
      </c>
      <c r="AG10" s="111" t="s">
        <v>71</v>
      </c>
      <c r="AH10" s="111" t="s">
        <v>72</v>
      </c>
      <c r="AI10" s="111" t="s">
        <v>73</v>
      </c>
      <c r="AJ10" s="111" t="s">
        <v>74</v>
      </c>
      <c r="AK10" s="111" t="s">
        <v>75</v>
      </c>
      <c r="AL10" s="111" t="s">
        <v>124</v>
      </c>
      <c r="AM10" s="113" t="s">
        <v>20</v>
      </c>
      <c r="AN10" s="113" t="s">
        <v>38</v>
      </c>
      <c r="AO10" s="113" t="s">
        <v>20</v>
      </c>
      <c r="AP10" s="111" t="s">
        <v>31</v>
      </c>
      <c r="AQ10" s="113" t="s">
        <v>40</v>
      </c>
      <c r="AR10" s="113" t="s">
        <v>43</v>
      </c>
      <c r="AS10" s="111" t="s">
        <v>20</v>
      </c>
      <c r="AT10" s="111" t="s">
        <v>31</v>
      </c>
      <c r="AU10" s="111" t="s">
        <v>157</v>
      </c>
      <c r="AV10" s="111" t="s">
        <v>51</v>
      </c>
      <c r="AW10" s="111" t="s">
        <v>26</v>
      </c>
      <c r="AY10" s="111" t="s">
        <v>10</v>
      </c>
      <c r="AZ10" s="111" t="s">
        <v>20</v>
      </c>
      <c r="BA10" s="111" t="s">
        <v>25</v>
      </c>
      <c r="BB10" s="111" t="s">
        <v>147</v>
      </c>
      <c r="BC10" s="111" t="s">
        <v>146</v>
      </c>
      <c r="BD10" s="111" t="s">
        <v>148</v>
      </c>
      <c r="BE10" s="111" t="s">
        <v>149</v>
      </c>
      <c r="BF10" s="111" t="s">
        <v>150</v>
      </c>
      <c r="BH10" s="111" t="s">
        <v>10</v>
      </c>
      <c r="BI10" s="111" t="s">
        <v>20</v>
      </c>
      <c r="BJ10" s="111" t="s">
        <v>25</v>
      </c>
      <c r="BK10" s="111" t="s">
        <v>151</v>
      </c>
      <c r="BL10" s="111" t="s">
        <v>152</v>
      </c>
      <c r="BM10" s="111" t="s">
        <v>153</v>
      </c>
      <c r="BN10" s="111" t="s">
        <v>154</v>
      </c>
      <c r="BO10" s="111" t="s">
        <v>155</v>
      </c>
      <c r="BP10" s="111" t="s">
        <v>156</v>
      </c>
      <c r="BQ10" s="111" t="s">
        <v>69</v>
      </c>
    </row>
    <row r="11" spans="2:69" ht="16.5" x14ac:dyDescent="0.3">
      <c r="B11" s="98">
        <v>5</v>
      </c>
      <c r="C11" s="99">
        <v>4.3600000000000003E-4</v>
      </c>
      <c r="E11" s="88">
        <v>5</v>
      </c>
      <c r="F11" s="102">
        <v>0</v>
      </c>
      <c r="H11" s="88">
        <v>6</v>
      </c>
      <c r="I11" s="93">
        <v>9.4600000000000001E-4</v>
      </c>
      <c r="K11" s="103">
        <v>6</v>
      </c>
      <c r="L11" s="104">
        <v>0.1206</v>
      </c>
      <c r="N11" s="110"/>
      <c r="O11" s="110"/>
      <c r="P11" s="110"/>
      <c r="Q11" s="110"/>
      <c r="R11" s="110"/>
      <c r="S11" s="110"/>
      <c r="T11" s="83">
        <f t="shared" ref="T11:T28" si="0">IF(U11="","",IF($P$12+$U$5&lt;=$P$12+$P$13,$P$12+$U$5,""))</f>
        <v>32</v>
      </c>
      <c r="U11" s="83">
        <f>IF($P$13-1-$U$5&gt;=0,0,"")</f>
        <v>0</v>
      </c>
      <c r="V11" s="83">
        <f>IF(U11="","",SUM(T11:U11))</f>
        <v>32</v>
      </c>
      <c r="W11" s="83">
        <f>IF(U11="","",1)</f>
        <v>1</v>
      </c>
      <c r="X11" s="114">
        <f>IF(U11="","",POWER(1+VLOOKUP(U11+1,$K$26:$L$45,2,0),-(U11+1)))</f>
        <v>0.95410743249689911</v>
      </c>
      <c r="Y11" s="114">
        <f t="shared" ref="Y11:Y28" si="1">IF(U11="","",VLOOKUP(V11,$BJ$10:$BK$28,2,0))</f>
        <v>5.9344363418173222E-4</v>
      </c>
      <c r="Z11" s="114">
        <f t="shared" ref="Z11:Z28" si="2">IF(U11="","",VLOOKUP(V11,$BJ$10:$BL$28,3,0))</f>
        <v>9.9286448039732266E-5</v>
      </c>
      <c r="AA11" s="114">
        <f t="shared" ref="AA11:AA28" si="3">IF(U11="","",VLOOKUP(V11,$BJ$10:$BM$28,4,0))</f>
        <v>1.0870634061769322E-3</v>
      </c>
      <c r="AB11" s="114">
        <f t="shared" ref="AB11:AB28" si="4">IF(U11="","",VLOOKUP(V11,$BJ$10:$BN$28,5,0))</f>
        <v>0.37039486700183633</v>
      </c>
      <c r="AC11" s="114">
        <f>IF(U11="","",SUM(Y11:AB11))</f>
        <v>0.37217466049023473</v>
      </c>
      <c r="AD11" s="114">
        <f>IF(U11="","",1-AC11)</f>
        <v>0.62782533950976527</v>
      </c>
      <c r="AE11" s="114">
        <f>IF(U11="","",1)</f>
        <v>1</v>
      </c>
      <c r="AF11" s="83">
        <f t="shared" ref="AF11:AF28" si="5">IF(U11="","",W11*$AH$31*X11*AE11*Y11)</f>
        <v>84.931347321114231</v>
      </c>
      <c r="AG11" s="83">
        <f t="shared" ref="AG11:AG28" si="6">IF(U11="","",$AH$32*X11*AE11*Y11)</f>
        <v>0</v>
      </c>
      <c r="AH11" s="83">
        <f t="shared" ref="AH11:AH28" si="7">IF(U11="","",W11*$AH$31*X11*AE11*Z11)</f>
        <v>14.20949070313886</v>
      </c>
      <c r="AI11" s="83">
        <f t="shared" ref="AI11:AI28" si="8">IF(U11="","",$AH$32*X11*AE11*Z11)</f>
        <v>0</v>
      </c>
      <c r="AJ11" s="83">
        <f t="shared" ref="AJ11:AJ28" si="9">IF(U11="","",W11*$AH$31*X11*AE11*AA11)</f>
        <v>155.576291314321</v>
      </c>
      <c r="AK11" s="83">
        <f t="shared" ref="AK11:AK28" si="10">IF(U11="","",$AH$32*X11*AE11*AA11)</f>
        <v>0</v>
      </c>
      <c r="AL11" s="83">
        <f>IF(U11="","",VLOOKUP($U$5+U11,'Valores Garantizados'!O10:P29,2,0)*X11*AE11*AB11)</f>
        <v>0</v>
      </c>
      <c r="AM11" s="83">
        <f>IF(4-1-$U$5&gt;=0,0,"")</f>
        <v>0</v>
      </c>
      <c r="AN11" s="83">
        <f>IF(AM11="","",AT11*AU11*O22)</f>
        <v>2500</v>
      </c>
      <c r="AO11" s="83">
        <f>IF($P$13-1-$U$5&gt;=0,0,"")</f>
        <v>0</v>
      </c>
      <c r="AP11" s="83">
        <f>IF(AO11="","",X11*(1+VLOOKUP(AO11+1,$K$26:$L$45,2,0)))</f>
        <v>1</v>
      </c>
      <c r="AQ11" s="83">
        <f>IF(AO11="","",AP11*AE11*P22)</f>
        <v>500</v>
      </c>
      <c r="AR11" s="83">
        <f t="shared" ref="AR11:AR28" si="11">IF(AO11="","",AP11*AE11*Q22)</f>
        <v>30</v>
      </c>
      <c r="AS11" s="83">
        <f>IF($P$18-1-$U$5&gt;=0,0,"")</f>
        <v>0</v>
      </c>
      <c r="AT11" s="83">
        <f>IF(AS11="","",X11*(1+VLOOKUP(AS11+1,$K$26:$L$45,2,0)))</f>
        <v>1</v>
      </c>
      <c r="AU11" s="83">
        <f>IF(AS11="","",1)</f>
        <v>1</v>
      </c>
      <c r="AV11" s="83">
        <f>IF(AS11="","",IF($P$18-$U$5&gt;0,$P$18-$U$5))</f>
        <v>8</v>
      </c>
      <c r="AW11" s="83">
        <f>IF(AS11="","",AV11*$P$15*AT11*AU11)</f>
        <v>7034.6770314813966</v>
      </c>
      <c r="AY11" s="105">
        <f>$P$12</f>
        <v>32</v>
      </c>
      <c r="AZ11" s="105">
        <v>0</v>
      </c>
      <c r="BA11" s="105">
        <f t="shared" ref="BA11:BA28" si="12">AY11+AZ11</f>
        <v>32</v>
      </c>
      <c r="BB11" s="105">
        <f t="shared" ref="BB11:BB28" si="13">VLOOKUP(BA11,B:C,2,0)</f>
        <v>7.2900000000000005E-4</v>
      </c>
      <c r="BC11" s="105">
        <f t="shared" ref="BC11:BC28" si="14">VLOOKUP(BA11,E:F,2,0)</f>
        <v>1.22E-4</v>
      </c>
      <c r="BD11" s="105">
        <f t="shared" ref="BD11:BD28" si="15">VLOOKUP(BA11,H:I,2,0)</f>
        <v>1.335E-3</v>
      </c>
      <c r="BE11" s="106">
        <f t="shared" ref="BE11:BE28" si="16">L6</f>
        <v>0.37080000000000002</v>
      </c>
      <c r="BF11" s="105">
        <f t="shared" ref="BF11:BF28" si="17">(1-BB11)*(1-BC11)*(1-BD11)*(1-BE11)</f>
        <v>0.62782533950976527</v>
      </c>
      <c r="BH11" s="105">
        <f t="shared" ref="BH11:BH28" si="18">AY11</f>
        <v>32</v>
      </c>
      <c r="BI11" s="105">
        <f t="shared" ref="BI11:BI28" si="19">AZ11</f>
        <v>0</v>
      </c>
      <c r="BJ11" s="105">
        <f t="shared" ref="BJ11:BJ28" si="20">BA11</f>
        <v>32</v>
      </c>
      <c r="BK11" s="106">
        <f t="shared" ref="BK11:BK28" si="21">BB11*(1-(1/2)*(BC11+BD11+BE11)+(1/3)*(BC11*BD11+BC11*BE11+BD11*BE11)-(1/4)*(BC11*BD11*BE11))</f>
        <v>5.9344363418173222E-4</v>
      </c>
      <c r="BL11" s="106">
        <f t="shared" ref="BL11:BL28" si="22">BC11*(1-(1/2)*(BB11+BD11+BE11)+(1/3)*(BB11*BD11+BB11*BE11+BD11*BE11)-(1/4)*(BB11*BD11*BE11))</f>
        <v>9.9286448039732266E-5</v>
      </c>
      <c r="BM11" s="106">
        <f t="shared" ref="BM11:BM28" si="23">BD11*(1-(1/2)*(BB11+BC11+BE11)+(1/3)*(BB11*BC11+BB11*BE11+BC11*BE11)-(1/4)*(BB11*BC11*BE11))</f>
        <v>1.0870634061769322E-3</v>
      </c>
      <c r="BN11" s="106">
        <f t="shared" ref="BN11:BN28" si="24">BE11*(1-(1/2)*(BB11+BC11+BD11)+(1/3)*(BB11*BC11+BB11*BD11+BC11*BD11)-(1/4)*(BB11*BC11*BD11))</f>
        <v>0.37039486700183633</v>
      </c>
      <c r="BO11" s="106">
        <f t="shared" ref="BO11:BO28" si="25">SUM(BK11:BN11)</f>
        <v>0.37217466049023473</v>
      </c>
      <c r="BP11" s="106">
        <f t="shared" ref="BP11:BP28" si="26">1-BO11</f>
        <v>0.62782533950976527</v>
      </c>
      <c r="BQ11" s="106">
        <f t="shared" ref="BQ11:BQ28" si="27">BP11-BF11</f>
        <v>0</v>
      </c>
    </row>
    <row r="12" spans="2:69" ht="16.5" x14ac:dyDescent="0.3">
      <c r="B12" s="98">
        <v>6</v>
      </c>
      <c r="C12" s="99">
        <v>4.3800000000000002E-4</v>
      </c>
      <c r="E12" s="88">
        <v>6</v>
      </c>
      <c r="F12" s="100">
        <v>0</v>
      </c>
      <c r="H12" s="88">
        <v>7</v>
      </c>
      <c r="I12" s="101">
        <v>9.5E-4</v>
      </c>
      <c r="K12" s="98">
        <v>7</v>
      </c>
      <c r="L12" s="99">
        <v>0.1095</v>
      </c>
      <c r="N12" s="115" t="s">
        <v>9</v>
      </c>
      <c r="O12" s="116" t="s">
        <v>10</v>
      </c>
      <c r="P12" s="82">
        <f>'Cálculo de prima'!M11</f>
        <v>32</v>
      </c>
      <c r="Q12" s="110"/>
      <c r="T12" s="83">
        <f t="shared" si="0"/>
        <v>32</v>
      </c>
      <c r="U12" s="83">
        <f t="shared" ref="U12:U28" si="28">IF(U11="","",IF($P$13-1-$U$5&gt;U11,U11+1,""))</f>
        <v>1</v>
      </c>
      <c r="V12" s="83">
        <f t="shared" ref="V12:V28" si="29">IF(U12="","",SUM(T12:U12))</f>
        <v>33</v>
      </c>
      <c r="W12" s="83">
        <f t="shared" ref="W12:W28" si="30">IF(U12="","",W11+1)</f>
        <v>2</v>
      </c>
      <c r="X12" s="114">
        <f t="shared" ref="X12:X28" si="31">IF(U12="","",POWER(1+VLOOKUP(U12+1,$K$26:$L$45,2,0),-(U12+1)))</f>
        <v>0.89743135045038835</v>
      </c>
      <c r="Y12" s="114">
        <f t="shared" si="1"/>
        <v>6.6564245652454856E-4</v>
      </c>
      <c r="Z12" s="114">
        <f t="shared" si="2"/>
        <v>1.2394715739494865E-4</v>
      </c>
      <c r="AA12" s="114">
        <f t="shared" si="3"/>
        <v>1.2032557259762486E-3</v>
      </c>
      <c r="AB12" s="114">
        <f t="shared" si="4"/>
        <v>0.23982807355182209</v>
      </c>
      <c r="AC12" s="114">
        <f t="shared" ref="AC12:AC28" si="32">IF(U12="","",SUM(Y12:AB12))</f>
        <v>0.24182091889171783</v>
      </c>
      <c r="AD12" s="114">
        <f t="shared" ref="AD12:AD28" si="33">IF(U12="","",1-AC12)</f>
        <v>0.75817908110828214</v>
      </c>
      <c r="AE12" s="114">
        <f>IF(U12="","",AE11*AD11)</f>
        <v>0.62782533950976527</v>
      </c>
      <c r="AF12" s="83">
        <f t="shared" si="5"/>
        <v>112.51290719681397</v>
      </c>
      <c r="AG12" s="83">
        <f t="shared" si="6"/>
        <v>0</v>
      </c>
      <c r="AH12" s="83">
        <f t="shared" si="7"/>
        <v>20.950669357991053</v>
      </c>
      <c r="AI12" s="83">
        <f t="shared" si="8"/>
        <v>0</v>
      </c>
      <c r="AJ12" s="83">
        <f t="shared" si="9"/>
        <v>203.38516346696986</v>
      </c>
      <c r="AK12" s="83">
        <f t="shared" si="10"/>
        <v>0</v>
      </c>
      <c r="AL12" s="83">
        <f>IF(U12="","",VLOOKUP($U$5+U12,'Valores Garantizados'!O11:P30,2,0)*X12*AE12*AB12)</f>
        <v>348.21782059947105</v>
      </c>
      <c r="AM12" s="83">
        <f>IF(AM11="","",IF(4-1-$U$5&gt;AM11,AM11+1,""))</f>
        <v>1</v>
      </c>
      <c r="AN12" s="83">
        <f>IF(AM12="","",AT12*AU12*O23)</f>
        <v>1486.8921454854233</v>
      </c>
      <c r="AO12" s="83">
        <f t="shared" ref="AO12:AO28" si="34">IF(AO11="","",IF($P$13-1-$U$5&gt;AO11,AO11+1,""))</f>
        <v>1</v>
      </c>
      <c r="AP12" s="83">
        <f t="shared" ref="AP12:AP28" si="35">IF(AO12="","",X12*(1+VLOOKUP(AO12+1,$K$26:$L$45,2,0)))</f>
        <v>0.94732853353543001</v>
      </c>
      <c r="AQ12" s="83">
        <f t="shared" ref="AQ12:AQ28" si="36">IF(AO12="","",AP12*AE12*P23)</f>
        <v>297.37842909708468</v>
      </c>
      <c r="AR12" s="83">
        <f t="shared" si="11"/>
        <v>17.842705745825079</v>
      </c>
      <c r="AS12" s="83">
        <f t="shared" ref="AS12:AS18" si="37">IF(AS11="","",IF($P$18-1-$U$5&gt;AS11,AS11+1,""))</f>
        <v>1</v>
      </c>
      <c r="AT12" s="83">
        <f t="shared" ref="AT12:AT18" si="38">IF(AS12="","",X12*(1+VLOOKUP(AS12+1,$K$26:$L$45,2,0)))</f>
        <v>0.94732853353543001</v>
      </c>
      <c r="AU12" s="83">
        <f t="shared" ref="AU12:AU18" si="39">IF(AS12="","",AE12)</f>
        <v>0.62782533950976527</v>
      </c>
      <c r="AV12" s="83">
        <f t="shared" ref="AV12:AV18" si="40">IF(AS12="","",IF(AND(AV11-$U$5-1&lt;AV11,AV11&gt;0),AV11-1,""))</f>
        <v>7</v>
      </c>
      <c r="AW12" s="83">
        <f t="shared" ref="AW12:AW18" si="41">IF(AS12="","",AV12*$P$15*AT12*AU12)</f>
        <v>3660.9321084477415</v>
      </c>
      <c r="AY12" s="105">
        <f t="shared" ref="AY12:AY28" si="42">$P$12</f>
        <v>32</v>
      </c>
      <c r="AZ12" s="105">
        <f t="shared" ref="AZ12:AZ28" si="43">AZ11+1</f>
        <v>1</v>
      </c>
      <c r="BA12" s="105">
        <f t="shared" si="12"/>
        <v>33</v>
      </c>
      <c r="BB12" s="105">
        <f t="shared" si="13"/>
        <v>7.5699999999999997E-4</v>
      </c>
      <c r="BC12" s="105">
        <f t="shared" si="14"/>
        <v>1.4100000000000001E-4</v>
      </c>
      <c r="BD12" s="105">
        <f t="shared" si="15"/>
        <v>1.3680000000000001E-3</v>
      </c>
      <c r="BE12" s="106">
        <f t="shared" si="16"/>
        <v>0.24010000000000001</v>
      </c>
      <c r="BF12" s="105">
        <f t="shared" si="17"/>
        <v>0.75817908110828225</v>
      </c>
      <c r="BH12" s="105">
        <f t="shared" si="18"/>
        <v>32</v>
      </c>
      <c r="BI12" s="105">
        <f t="shared" si="19"/>
        <v>1</v>
      </c>
      <c r="BJ12" s="105">
        <f t="shared" si="20"/>
        <v>33</v>
      </c>
      <c r="BK12" s="106">
        <f t="shared" si="21"/>
        <v>6.6564245652454856E-4</v>
      </c>
      <c r="BL12" s="106">
        <f t="shared" si="22"/>
        <v>1.2394715739494865E-4</v>
      </c>
      <c r="BM12" s="106">
        <f t="shared" si="23"/>
        <v>1.2032557259762486E-3</v>
      </c>
      <c r="BN12" s="106">
        <f t="shared" si="24"/>
        <v>0.23982807355182209</v>
      </c>
      <c r="BO12" s="106">
        <f t="shared" si="25"/>
        <v>0.24182091889171783</v>
      </c>
      <c r="BP12" s="106">
        <f t="shared" si="26"/>
        <v>0.75817908110828214</v>
      </c>
      <c r="BQ12" s="106">
        <f t="shared" si="27"/>
        <v>0</v>
      </c>
    </row>
    <row r="13" spans="2:69" ht="16.5" x14ac:dyDescent="0.3">
      <c r="B13" s="98">
        <v>7</v>
      </c>
      <c r="C13" s="99">
        <v>4.4000000000000002E-4</v>
      </c>
      <c r="E13" s="88">
        <v>7</v>
      </c>
      <c r="F13" s="102">
        <v>0</v>
      </c>
      <c r="H13" s="88">
        <v>8</v>
      </c>
      <c r="I13" s="93">
        <v>9.5399999999999999E-4</v>
      </c>
      <c r="K13" s="103">
        <v>8</v>
      </c>
      <c r="L13" s="104">
        <v>0.1007</v>
      </c>
      <c r="N13" s="115" t="s">
        <v>11</v>
      </c>
      <c r="O13" s="116" t="s">
        <v>12</v>
      </c>
      <c r="P13" s="82">
        <v>18</v>
      </c>
      <c r="Q13" s="110"/>
      <c r="T13" s="83">
        <f t="shared" si="0"/>
        <v>32</v>
      </c>
      <c r="U13" s="83">
        <f t="shared" si="28"/>
        <v>2</v>
      </c>
      <c r="V13" s="83">
        <f t="shared" si="29"/>
        <v>34</v>
      </c>
      <c r="W13" s="83">
        <f t="shared" si="30"/>
        <v>3</v>
      </c>
      <c r="X13" s="114">
        <f t="shared" si="31"/>
        <v>0.85209817792008502</v>
      </c>
      <c r="Y13" s="114">
        <f t="shared" si="1"/>
        <v>7.1409718321795396E-4</v>
      </c>
      <c r="Z13" s="114">
        <f t="shared" si="2"/>
        <v>1.4676241043008734E-4</v>
      </c>
      <c r="AA13" s="114">
        <f t="shared" si="3"/>
        <v>1.2717970519199541E-3</v>
      </c>
      <c r="AB13" s="114">
        <f t="shared" si="4"/>
        <v>0.18598102634040192</v>
      </c>
      <c r="AC13" s="114">
        <f t="shared" si="32"/>
        <v>0.18811368298596992</v>
      </c>
      <c r="AD13" s="114">
        <f t="shared" si="33"/>
        <v>0.81188631701403002</v>
      </c>
      <c r="AE13" s="114">
        <f t="shared" ref="AE13:AE28" si="44">IF(U13="","",AE12*AD12)</f>
        <v>0.47600403900600907</v>
      </c>
      <c r="AF13" s="83">
        <f t="shared" si="5"/>
        <v>130.33771658492364</v>
      </c>
      <c r="AG13" s="83">
        <f t="shared" si="6"/>
        <v>0</v>
      </c>
      <c r="AH13" s="83">
        <f t="shared" si="7"/>
        <v>26.787218750474448</v>
      </c>
      <c r="AI13" s="83">
        <f t="shared" si="8"/>
        <v>0</v>
      </c>
      <c r="AJ13" s="83">
        <f t="shared" si="9"/>
        <v>232.12964229840802</v>
      </c>
      <c r="AK13" s="83">
        <f t="shared" si="10"/>
        <v>0</v>
      </c>
      <c r="AL13" s="83">
        <f>IF(U13="","",VLOOKUP($U$5+U13,'Valores Garantizados'!O12:P31,2,0)*X13*AE13*AB13)</f>
        <v>376.93155802671055</v>
      </c>
      <c r="AM13" s="83">
        <f>IF(AM12="","",IF(4-1-$U$5&gt;AM12,AM12+1,""))</f>
        <v>2</v>
      </c>
      <c r="AN13" s="83">
        <f>IF(AM13="","",AT13*AU13*O24)</f>
        <v>1069.5729336808415</v>
      </c>
      <c r="AO13" s="83">
        <f t="shared" si="34"/>
        <v>2</v>
      </c>
      <c r="AP13" s="83">
        <f t="shared" si="35"/>
        <v>0.89879315807010562</v>
      </c>
      <c r="AQ13" s="83">
        <f t="shared" si="36"/>
        <v>213.9145867361683</v>
      </c>
      <c r="AR13" s="83">
        <f t="shared" si="11"/>
        <v>12.834875204170098</v>
      </c>
      <c r="AS13" s="83">
        <f t="shared" si="37"/>
        <v>2</v>
      </c>
      <c r="AT13" s="83">
        <f t="shared" si="38"/>
        <v>0.89879315807010562</v>
      </c>
      <c r="AU13" s="83">
        <f t="shared" si="39"/>
        <v>0.47600403900600907</v>
      </c>
      <c r="AV13" s="83">
        <f t="shared" si="40"/>
        <v>6</v>
      </c>
      <c r="AW13" s="83">
        <f t="shared" si="41"/>
        <v>2257.2300450176372</v>
      </c>
      <c r="AY13" s="105">
        <f t="shared" si="42"/>
        <v>32</v>
      </c>
      <c r="AZ13" s="105">
        <f t="shared" si="43"/>
        <v>2</v>
      </c>
      <c r="BA13" s="105">
        <f t="shared" si="12"/>
        <v>34</v>
      </c>
      <c r="BB13" s="105">
        <f t="shared" si="13"/>
        <v>7.8799999999999996E-4</v>
      </c>
      <c r="BC13" s="105">
        <f t="shared" si="14"/>
        <v>1.6200000000000001E-4</v>
      </c>
      <c r="BD13" s="105">
        <f t="shared" si="15"/>
        <v>1.403E-3</v>
      </c>
      <c r="BE13" s="106">
        <f t="shared" si="16"/>
        <v>0.1862</v>
      </c>
      <c r="BF13" s="105">
        <f t="shared" si="17"/>
        <v>0.81188631701403002</v>
      </c>
      <c r="BH13" s="105">
        <f t="shared" si="18"/>
        <v>32</v>
      </c>
      <c r="BI13" s="105">
        <f t="shared" si="19"/>
        <v>2</v>
      </c>
      <c r="BJ13" s="105">
        <f t="shared" si="20"/>
        <v>34</v>
      </c>
      <c r="BK13" s="106">
        <f t="shared" si="21"/>
        <v>7.1409718321795396E-4</v>
      </c>
      <c r="BL13" s="106">
        <f t="shared" si="22"/>
        <v>1.4676241043008734E-4</v>
      </c>
      <c r="BM13" s="106">
        <f t="shared" si="23"/>
        <v>1.2717970519199541E-3</v>
      </c>
      <c r="BN13" s="106">
        <f t="shared" si="24"/>
        <v>0.18598102634040192</v>
      </c>
      <c r="BO13" s="106">
        <f t="shared" si="25"/>
        <v>0.18811368298596992</v>
      </c>
      <c r="BP13" s="106">
        <f t="shared" si="26"/>
        <v>0.81188631701403002</v>
      </c>
      <c r="BQ13" s="106">
        <f t="shared" si="27"/>
        <v>0</v>
      </c>
    </row>
    <row r="14" spans="2:69" ht="16.5" x14ac:dyDescent="0.3">
      <c r="B14" s="98">
        <v>8</v>
      </c>
      <c r="C14" s="99">
        <v>4.4299999999999998E-4</v>
      </c>
      <c r="E14" s="88">
        <v>8</v>
      </c>
      <c r="F14" s="100">
        <v>0</v>
      </c>
      <c r="H14" s="88">
        <v>9</v>
      </c>
      <c r="I14" s="101">
        <v>9.59E-4</v>
      </c>
      <c r="K14" s="98">
        <v>9</v>
      </c>
      <c r="L14" s="99">
        <v>9.35E-2</v>
      </c>
      <c r="N14" s="115" t="s">
        <v>13</v>
      </c>
      <c r="O14" s="116" t="s">
        <v>14</v>
      </c>
      <c r="P14" s="117">
        <v>150000</v>
      </c>
      <c r="Q14" s="110"/>
      <c r="T14" s="83">
        <f t="shared" si="0"/>
        <v>32</v>
      </c>
      <c r="U14" s="83">
        <f t="shared" si="28"/>
        <v>3</v>
      </c>
      <c r="V14" s="83">
        <f t="shared" si="29"/>
        <v>35</v>
      </c>
      <c r="W14" s="83">
        <f t="shared" si="30"/>
        <v>4</v>
      </c>
      <c r="X14" s="114">
        <f t="shared" si="31"/>
        <v>0.80355451823314872</v>
      </c>
      <c r="Y14" s="114">
        <f t="shared" si="1"/>
        <v>7.5656940404811095E-4</v>
      </c>
      <c r="Z14" s="114">
        <f t="shared" si="2"/>
        <v>1.7042885300811103E-4</v>
      </c>
      <c r="AA14" s="114">
        <f t="shared" si="3"/>
        <v>1.3273908322422776E-3</v>
      </c>
      <c r="AB14" s="114">
        <f t="shared" si="4"/>
        <v>0.15530990645204332</v>
      </c>
      <c r="AC14" s="114">
        <f t="shared" si="32"/>
        <v>0.15756429554134183</v>
      </c>
      <c r="AD14" s="114">
        <f t="shared" si="33"/>
        <v>0.84243570445865812</v>
      </c>
      <c r="AE14" s="114">
        <f t="shared" si="44"/>
        <v>0.3864611661123914</v>
      </c>
      <c r="AF14" s="83">
        <f t="shared" si="5"/>
        <v>140.96822521986164</v>
      </c>
      <c r="AG14" s="83">
        <f t="shared" si="6"/>
        <v>0</v>
      </c>
      <c r="AH14" s="83">
        <f t="shared" si="7"/>
        <v>31.755253128478767</v>
      </c>
      <c r="AI14" s="83">
        <f t="shared" si="8"/>
        <v>0</v>
      </c>
      <c r="AJ14" s="83">
        <f t="shared" si="9"/>
        <v>247.32685301983193</v>
      </c>
      <c r="AK14" s="83">
        <f t="shared" si="10"/>
        <v>0</v>
      </c>
      <c r="AL14" s="83">
        <f>IF(U14="","",VLOOKUP($U$5+U14,'Valores Garantizados'!O13:P32,2,0)*X14*AE14*AB14)</f>
        <v>348.80712174628343</v>
      </c>
      <c r="AM14" s="83">
        <f>IF(AM13="","",IF(4-1-$U$5&gt;AM13,AM13+1,""))</f>
        <v>3</v>
      </c>
      <c r="AN14" s="83">
        <f>IF(AM14="","",AT14*AU14*O25)</f>
        <v>819.98777794741147</v>
      </c>
      <c r="AO14" s="83">
        <f t="shared" si="34"/>
        <v>3</v>
      </c>
      <c r="AP14" s="83">
        <f t="shared" si="35"/>
        <v>0.84871428215785172</v>
      </c>
      <c r="AQ14" s="83">
        <f t="shared" si="36"/>
        <v>163.99755558948229</v>
      </c>
      <c r="AR14" s="83">
        <f t="shared" si="11"/>
        <v>9.8398533353689377</v>
      </c>
      <c r="AS14" s="83">
        <f t="shared" si="37"/>
        <v>3</v>
      </c>
      <c r="AT14" s="83">
        <f t="shared" si="38"/>
        <v>0.84871428215785172</v>
      </c>
      <c r="AU14" s="83">
        <f t="shared" si="39"/>
        <v>0.3864611661123914</v>
      </c>
      <c r="AV14" s="83">
        <f t="shared" si="40"/>
        <v>5</v>
      </c>
      <c r="AW14" s="83">
        <f t="shared" si="41"/>
        <v>1442.0872969055308</v>
      </c>
      <c r="AY14" s="105">
        <f t="shared" si="42"/>
        <v>32</v>
      </c>
      <c r="AZ14" s="105">
        <f t="shared" si="43"/>
        <v>3</v>
      </c>
      <c r="BA14" s="105">
        <f t="shared" si="12"/>
        <v>35</v>
      </c>
      <c r="BB14" s="105">
        <f t="shared" si="13"/>
        <v>8.2100000000000001E-4</v>
      </c>
      <c r="BC14" s="105">
        <f t="shared" si="14"/>
        <v>1.85E-4</v>
      </c>
      <c r="BD14" s="105">
        <f t="shared" si="15"/>
        <v>1.4400000000000001E-3</v>
      </c>
      <c r="BE14" s="106">
        <f t="shared" si="16"/>
        <v>0.1555</v>
      </c>
      <c r="BF14" s="105">
        <f t="shared" si="17"/>
        <v>0.84243570445865823</v>
      </c>
      <c r="BH14" s="105">
        <f t="shared" si="18"/>
        <v>32</v>
      </c>
      <c r="BI14" s="105">
        <f t="shared" si="19"/>
        <v>3</v>
      </c>
      <c r="BJ14" s="105">
        <f t="shared" si="20"/>
        <v>35</v>
      </c>
      <c r="BK14" s="106">
        <f t="shared" si="21"/>
        <v>7.5656940404811095E-4</v>
      </c>
      <c r="BL14" s="106">
        <f t="shared" si="22"/>
        <v>1.7042885300811103E-4</v>
      </c>
      <c r="BM14" s="106">
        <f t="shared" si="23"/>
        <v>1.3273908322422776E-3</v>
      </c>
      <c r="BN14" s="106">
        <f t="shared" si="24"/>
        <v>0.15530990645204332</v>
      </c>
      <c r="BO14" s="106">
        <f t="shared" si="25"/>
        <v>0.15756429554134183</v>
      </c>
      <c r="BP14" s="106">
        <f t="shared" si="26"/>
        <v>0.84243570445865812</v>
      </c>
      <c r="BQ14" s="106">
        <f t="shared" si="27"/>
        <v>0</v>
      </c>
    </row>
    <row r="15" spans="2:69" ht="16.5" x14ac:dyDescent="0.3">
      <c r="B15" s="98">
        <v>9</v>
      </c>
      <c r="C15" s="99">
        <v>4.46E-4</v>
      </c>
      <c r="E15" s="88">
        <v>9</v>
      </c>
      <c r="F15" s="102">
        <v>0</v>
      </c>
      <c r="H15" s="88">
        <v>10</v>
      </c>
      <c r="I15" s="93">
        <v>9.6400000000000001E-4</v>
      </c>
      <c r="K15" s="103">
        <v>10</v>
      </c>
      <c r="L15" s="104">
        <v>8.7499999999999994E-2</v>
      </c>
      <c r="N15" s="115" t="s">
        <v>103</v>
      </c>
      <c r="O15" s="116" t="s">
        <v>19</v>
      </c>
      <c r="P15" s="118">
        <f>'Cálculo de prima'!M30</f>
        <v>879.33462893517458</v>
      </c>
      <c r="Q15" s="110"/>
      <c r="T15" s="83">
        <f t="shared" si="0"/>
        <v>32</v>
      </c>
      <c r="U15" s="83">
        <f t="shared" si="28"/>
        <v>4</v>
      </c>
      <c r="V15" s="83">
        <f t="shared" si="29"/>
        <v>36</v>
      </c>
      <c r="W15" s="83">
        <f t="shared" si="30"/>
        <v>5</v>
      </c>
      <c r="X15" s="114">
        <f t="shared" si="31"/>
        <v>0.76187908335233934</v>
      </c>
      <c r="Y15" s="114">
        <f t="shared" si="1"/>
        <v>7.9840759668976357E-4</v>
      </c>
      <c r="Z15" s="114">
        <f t="shared" si="2"/>
        <v>1.9651214935109684E-4</v>
      </c>
      <c r="AA15" s="114">
        <f t="shared" si="3"/>
        <v>1.3792329943382968E-3</v>
      </c>
      <c r="AB15" s="114">
        <f t="shared" si="4"/>
        <v>0.13502783457440043</v>
      </c>
      <c r="AC15" s="114">
        <f t="shared" si="32"/>
        <v>0.13740198731477959</v>
      </c>
      <c r="AD15" s="114">
        <f t="shared" si="33"/>
        <v>0.86259801268522041</v>
      </c>
      <c r="AE15" s="114">
        <f t="shared" si="44"/>
        <v>0.32556868471980693</v>
      </c>
      <c r="AF15" s="83">
        <f t="shared" si="5"/>
        <v>148.53014311905491</v>
      </c>
      <c r="AG15" s="83">
        <f t="shared" si="6"/>
        <v>0</v>
      </c>
      <c r="AH15" s="83">
        <f t="shared" si="7"/>
        <v>36.557740418260387</v>
      </c>
      <c r="AI15" s="83">
        <f t="shared" si="8"/>
        <v>0</v>
      </c>
      <c r="AJ15" s="83">
        <f t="shared" si="9"/>
        <v>256.58282172281389</v>
      </c>
      <c r="AK15" s="83">
        <f t="shared" si="10"/>
        <v>0</v>
      </c>
      <c r="AL15" s="83">
        <f>IF(U15="","",VLOOKUP($U$5+U15,'Valores Garantizados'!O14:P33,2,0)*X15*AE15*AB15)</f>
        <v>309.8597901877128</v>
      </c>
      <c r="AO15" s="83">
        <f t="shared" si="34"/>
        <v>4</v>
      </c>
      <c r="AP15" s="83">
        <f t="shared" si="35"/>
        <v>0.80446812411173518</v>
      </c>
      <c r="AQ15" s="83">
        <f t="shared" si="36"/>
        <v>130.95481453303401</v>
      </c>
      <c r="AR15" s="83">
        <f t="shared" si="11"/>
        <v>7.8572888719820408</v>
      </c>
      <c r="AS15" s="83">
        <f t="shared" si="37"/>
        <v>4</v>
      </c>
      <c r="AT15" s="83">
        <f t="shared" si="38"/>
        <v>0.80446812411173518</v>
      </c>
      <c r="AU15" s="83">
        <f t="shared" si="39"/>
        <v>0.32556868471980693</v>
      </c>
      <c r="AV15" s="83">
        <f t="shared" si="40"/>
        <v>4</v>
      </c>
      <c r="AW15" s="83">
        <f t="shared" si="41"/>
        <v>921.22482595744054</v>
      </c>
      <c r="AY15" s="105">
        <f t="shared" si="42"/>
        <v>32</v>
      </c>
      <c r="AZ15" s="105">
        <f t="shared" si="43"/>
        <v>4</v>
      </c>
      <c r="BA15" s="105">
        <f t="shared" si="12"/>
        <v>36</v>
      </c>
      <c r="BB15" s="105">
        <f t="shared" si="13"/>
        <v>8.5700000000000001E-4</v>
      </c>
      <c r="BC15" s="105">
        <f t="shared" si="14"/>
        <v>2.1100000000000001E-4</v>
      </c>
      <c r="BD15" s="105">
        <f t="shared" si="15"/>
        <v>1.48E-3</v>
      </c>
      <c r="BE15" s="106">
        <f t="shared" si="16"/>
        <v>0.13519999999999999</v>
      </c>
      <c r="BF15" s="105">
        <f t="shared" si="17"/>
        <v>0.86259801268522052</v>
      </c>
      <c r="BH15" s="105">
        <f t="shared" si="18"/>
        <v>32</v>
      </c>
      <c r="BI15" s="105">
        <f t="shared" si="19"/>
        <v>4</v>
      </c>
      <c r="BJ15" s="105">
        <f t="shared" si="20"/>
        <v>36</v>
      </c>
      <c r="BK15" s="106">
        <f t="shared" si="21"/>
        <v>7.9840759668976357E-4</v>
      </c>
      <c r="BL15" s="106">
        <f t="shared" si="22"/>
        <v>1.9651214935109684E-4</v>
      </c>
      <c r="BM15" s="106">
        <f t="shared" si="23"/>
        <v>1.3792329943382968E-3</v>
      </c>
      <c r="BN15" s="106">
        <f t="shared" si="24"/>
        <v>0.13502783457440043</v>
      </c>
      <c r="BO15" s="106">
        <f t="shared" si="25"/>
        <v>0.13740198731477959</v>
      </c>
      <c r="BP15" s="106">
        <f t="shared" si="26"/>
        <v>0.86259801268522041</v>
      </c>
      <c r="BQ15" s="106">
        <f t="shared" si="27"/>
        <v>0</v>
      </c>
    </row>
    <row r="16" spans="2:69" ht="16.5" x14ac:dyDescent="0.3">
      <c r="B16" s="98">
        <v>10</v>
      </c>
      <c r="C16" s="99">
        <v>4.4900000000000002E-4</v>
      </c>
      <c r="E16" s="88">
        <v>10</v>
      </c>
      <c r="F16" s="100">
        <v>9.9999999999999995E-7</v>
      </c>
      <c r="H16" s="88">
        <v>11</v>
      </c>
      <c r="I16" s="101">
        <v>9.7000000000000005E-4</v>
      </c>
      <c r="K16" s="98">
        <v>11</v>
      </c>
      <c r="L16" s="99">
        <v>8.2400000000000001E-2</v>
      </c>
      <c r="Q16" s="110"/>
      <c r="T16" s="83">
        <f t="shared" si="0"/>
        <v>32</v>
      </c>
      <c r="U16" s="83">
        <f t="shared" si="28"/>
        <v>5</v>
      </c>
      <c r="V16" s="83">
        <f t="shared" si="29"/>
        <v>37</v>
      </c>
      <c r="W16" s="83">
        <f t="shared" si="30"/>
        <v>6</v>
      </c>
      <c r="X16" s="114">
        <f t="shared" si="31"/>
        <v>0.72483350774064725</v>
      </c>
      <c r="Y16" s="114">
        <f t="shared" si="1"/>
        <v>8.4124538905953992E-4</v>
      </c>
      <c r="Z16" s="114">
        <f t="shared" si="2"/>
        <v>2.2526126809313996E-4</v>
      </c>
      <c r="AA16" s="114">
        <f t="shared" si="3"/>
        <v>1.4294285087075398E-3</v>
      </c>
      <c r="AB16" s="114">
        <f t="shared" si="4"/>
        <v>0.12043980074021857</v>
      </c>
      <c r="AC16" s="114">
        <f t="shared" si="32"/>
        <v>0.12293573590607879</v>
      </c>
      <c r="AD16" s="114">
        <f t="shared" si="33"/>
        <v>0.87706426409392124</v>
      </c>
      <c r="AE16" s="114">
        <f t="shared" si="44"/>
        <v>0.28083490043184656</v>
      </c>
      <c r="AF16" s="83">
        <f t="shared" si="5"/>
        <v>154.11841938538507</v>
      </c>
      <c r="AG16" s="83">
        <f t="shared" si="6"/>
        <v>0</v>
      </c>
      <c r="AH16" s="83">
        <f t="shared" si="7"/>
        <v>41.268470577976721</v>
      </c>
      <c r="AI16" s="83">
        <f t="shared" si="8"/>
        <v>0</v>
      </c>
      <c r="AJ16" s="83">
        <f t="shared" si="9"/>
        <v>261.87514992824782</v>
      </c>
      <c r="AK16" s="83">
        <f t="shared" si="10"/>
        <v>0</v>
      </c>
      <c r="AL16" s="83">
        <f>IF(U16="","",VLOOKUP($U$5+U16,'Valores Garantizados'!O15:P34,2,0)*X16*AE16*AB16)</f>
        <v>270.13508251345837</v>
      </c>
      <c r="AO16" s="83">
        <f t="shared" si="34"/>
        <v>5</v>
      </c>
      <c r="AP16" s="83">
        <f t="shared" si="35"/>
        <v>0.76477183401715687</v>
      </c>
      <c r="AQ16" s="83">
        <f t="shared" si="36"/>
        <v>107.38731092964447</v>
      </c>
      <c r="AR16" s="83">
        <f t="shared" si="11"/>
        <v>6.4432386557786687</v>
      </c>
      <c r="AS16" s="83">
        <f t="shared" si="37"/>
        <v>5</v>
      </c>
      <c r="AT16" s="83">
        <f t="shared" si="38"/>
        <v>0.76477183401715687</v>
      </c>
      <c r="AU16" s="83">
        <f t="shared" si="39"/>
        <v>0.28083490043184656</v>
      </c>
      <c r="AV16" s="83">
        <f t="shared" si="40"/>
        <v>3</v>
      </c>
      <c r="AW16" s="83">
        <f t="shared" si="41"/>
        <v>566.57628725199072</v>
      </c>
      <c r="AY16" s="105">
        <f t="shared" si="42"/>
        <v>32</v>
      </c>
      <c r="AZ16" s="105">
        <f t="shared" si="43"/>
        <v>5</v>
      </c>
      <c r="BA16" s="105">
        <f t="shared" si="12"/>
        <v>37</v>
      </c>
      <c r="BB16" s="105">
        <f t="shared" si="13"/>
        <v>8.9599999999999999E-4</v>
      </c>
      <c r="BC16" s="105">
        <f t="shared" si="14"/>
        <v>2.4000000000000001E-4</v>
      </c>
      <c r="BD16" s="105">
        <f t="shared" si="15"/>
        <v>1.5219999999999999E-3</v>
      </c>
      <c r="BE16" s="106">
        <f t="shared" si="16"/>
        <v>0.1206</v>
      </c>
      <c r="BF16" s="105">
        <f t="shared" si="17"/>
        <v>0.87706426409392113</v>
      </c>
      <c r="BH16" s="105">
        <f t="shared" si="18"/>
        <v>32</v>
      </c>
      <c r="BI16" s="105">
        <f t="shared" si="19"/>
        <v>5</v>
      </c>
      <c r="BJ16" s="105">
        <f t="shared" si="20"/>
        <v>37</v>
      </c>
      <c r="BK16" s="106">
        <f t="shared" si="21"/>
        <v>8.4124538905953992E-4</v>
      </c>
      <c r="BL16" s="106">
        <f t="shared" si="22"/>
        <v>2.2526126809313996E-4</v>
      </c>
      <c r="BM16" s="106">
        <f t="shared" si="23"/>
        <v>1.4294285087075398E-3</v>
      </c>
      <c r="BN16" s="106">
        <f t="shared" si="24"/>
        <v>0.12043980074021857</v>
      </c>
      <c r="BO16" s="106">
        <f t="shared" si="25"/>
        <v>0.12293573590607879</v>
      </c>
      <c r="BP16" s="106">
        <f t="shared" si="26"/>
        <v>0.87706426409392124</v>
      </c>
      <c r="BQ16" s="106">
        <f t="shared" si="27"/>
        <v>0</v>
      </c>
    </row>
    <row r="17" spans="2:69" x14ac:dyDescent="0.25">
      <c r="B17" s="98">
        <v>11</v>
      </c>
      <c r="C17" s="99">
        <v>4.5300000000000001E-4</v>
      </c>
      <c r="E17" s="88">
        <v>11</v>
      </c>
      <c r="F17" s="102">
        <v>9.9999999999999995E-7</v>
      </c>
      <c r="H17" s="88">
        <v>12</v>
      </c>
      <c r="I17" s="93">
        <v>9.77E-4</v>
      </c>
      <c r="K17" s="103">
        <v>12</v>
      </c>
      <c r="L17" s="104">
        <v>7.8100000000000003E-2</v>
      </c>
      <c r="T17" s="83">
        <f t="shared" si="0"/>
        <v>32</v>
      </c>
      <c r="U17" s="83">
        <f t="shared" si="28"/>
        <v>6</v>
      </c>
      <c r="V17" s="83">
        <f t="shared" si="29"/>
        <v>38</v>
      </c>
      <c r="W17" s="83">
        <f t="shared" si="30"/>
        <v>7</v>
      </c>
      <c r="X17" s="114">
        <f t="shared" si="31"/>
        <v>0.68063376567410372</v>
      </c>
      <c r="Y17" s="114">
        <f t="shared" si="1"/>
        <v>8.8584509316456397E-4</v>
      </c>
      <c r="Z17" s="114">
        <f t="shared" si="2"/>
        <v>2.5679231196156399E-4</v>
      </c>
      <c r="AA17" s="114">
        <f t="shared" si="3"/>
        <v>1.480328043876564E-3</v>
      </c>
      <c r="AB17" s="114">
        <f t="shared" si="4"/>
        <v>0.10934803775807453</v>
      </c>
      <c r="AC17" s="114">
        <f t="shared" si="32"/>
        <v>0.11197100320707722</v>
      </c>
      <c r="AD17" s="114">
        <f t="shared" si="33"/>
        <v>0.8880289967929228</v>
      </c>
      <c r="AE17" s="114">
        <f t="shared" si="44"/>
        <v>0.24631025527914716</v>
      </c>
      <c r="AF17" s="83">
        <f t="shared" si="5"/>
        <v>155.93480717552501</v>
      </c>
      <c r="AG17" s="83">
        <f t="shared" si="6"/>
        <v>0</v>
      </c>
      <c r="AH17" s="83">
        <f t="shared" si="7"/>
        <v>45.203004406601103</v>
      </c>
      <c r="AI17" s="83">
        <f t="shared" si="8"/>
        <v>0</v>
      </c>
      <c r="AJ17" s="83">
        <f t="shared" si="9"/>
        <v>260.58130237397143</v>
      </c>
      <c r="AK17" s="83">
        <f t="shared" si="10"/>
        <v>0</v>
      </c>
      <c r="AL17" s="83">
        <f>IF(U17="","",VLOOKUP($U$5+U17,'Valores Garantizados'!O16:P35,2,0)*X17*AE17*AB17)</f>
        <v>228.97939106086159</v>
      </c>
      <c r="AO17" s="83">
        <f t="shared" si="34"/>
        <v>6</v>
      </c>
      <c r="AP17" s="83">
        <f t="shared" si="35"/>
        <v>0.7190895734346906</v>
      </c>
      <c r="AQ17" s="83">
        <f t="shared" si="36"/>
        <v>88.559568200635837</v>
      </c>
      <c r="AR17" s="83">
        <f t="shared" si="11"/>
        <v>5.3135740920381496</v>
      </c>
      <c r="AS17" s="83">
        <f t="shared" si="37"/>
        <v>6</v>
      </c>
      <c r="AT17" s="83">
        <f t="shared" si="38"/>
        <v>0.7190895734346906</v>
      </c>
      <c r="AU17" s="83">
        <f t="shared" si="39"/>
        <v>0.24631025527914716</v>
      </c>
      <c r="AV17" s="83">
        <f t="shared" si="40"/>
        <v>2</v>
      </c>
      <c r="AW17" s="83">
        <f t="shared" si="41"/>
        <v>311.49398016946162</v>
      </c>
      <c r="AY17" s="105">
        <f t="shared" si="42"/>
        <v>32</v>
      </c>
      <c r="AZ17" s="105">
        <f t="shared" si="43"/>
        <v>6</v>
      </c>
      <c r="BA17" s="105">
        <f t="shared" si="12"/>
        <v>38</v>
      </c>
      <c r="BB17" s="105">
        <f t="shared" si="13"/>
        <v>9.3800000000000003E-4</v>
      </c>
      <c r="BC17" s="105">
        <f t="shared" si="14"/>
        <v>2.72E-4</v>
      </c>
      <c r="BD17" s="105">
        <f t="shared" si="15"/>
        <v>1.567E-3</v>
      </c>
      <c r="BE17" s="106">
        <f t="shared" si="16"/>
        <v>0.1095</v>
      </c>
      <c r="BF17" s="105">
        <f t="shared" si="17"/>
        <v>0.88802899679292269</v>
      </c>
      <c r="BH17" s="105">
        <f t="shared" si="18"/>
        <v>32</v>
      </c>
      <c r="BI17" s="105">
        <f t="shared" si="19"/>
        <v>6</v>
      </c>
      <c r="BJ17" s="105">
        <f t="shared" si="20"/>
        <v>38</v>
      </c>
      <c r="BK17" s="106">
        <f t="shared" si="21"/>
        <v>8.8584509316456397E-4</v>
      </c>
      <c r="BL17" s="106">
        <f t="shared" si="22"/>
        <v>2.5679231196156399E-4</v>
      </c>
      <c r="BM17" s="106">
        <f t="shared" si="23"/>
        <v>1.480328043876564E-3</v>
      </c>
      <c r="BN17" s="106">
        <f t="shared" si="24"/>
        <v>0.10934803775807453</v>
      </c>
      <c r="BO17" s="106">
        <f t="shared" si="25"/>
        <v>0.11197100320707722</v>
      </c>
      <c r="BP17" s="106">
        <f t="shared" si="26"/>
        <v>0.8880289967929228</v>
      </c>
      <c r="BQ17" s="106">
        <f t="shared" si="27"/>
        <v>0</v>
      </c>
    </row>
    <row r="18" spans="2:69" ht="16.5" x14ac:dyDescent="0.3">
      <c r="B18" s="98">
        <v>12</v>
      </c>
      <c r="C18" s="99">
        <v>4.57E-4</v>
      </c>
      <c r="E18" s="88">
        <v>12</v>
      </c>
      <c r="F18" s="100">
        <v>1.9999999999999999E-6</v>
      </c>
      <c r="H18" s="88">
        <v>13</v>
      </c>
      <c r="I18" s="101">
        <v>9.8499999999999998E-4</v>
      </c>
      <c r="K18" s="98">
        <v>13</v>
      </c>
      <c r="L18" s="99">
        <v>7.4300000000000005E-2</v>
      </c>
      <c r="N18" s="115" t="s">
        <v>87</v>
      </c>
      <c r="O18" s="116" t="s">
        <v>12</v>
      </c>
      <c r="P18" s="82">
        <v>8</v>
      </c>
      <c r="T18" s="83">
        <f t="shared" si="0"/>
        <v>32</v>
      </c>
      <c r="U18" s="83">
        <f t="shared" si="28"/>
        <v>7</v>
      </c>
      <c r="V18" s="83">
        <f t="shared" si="29"/>
        <v>39</v>
      </c>
      <c r="W18" s="83">
        <f t="shared" si="30"/>
        <v>8</v>
      </c>
      <c r="X18" s="114">
        <f t="shared" si="31"/>
        <v>0.64228653397037128</v>
      </c>
      <c r="Y18" s="114">
        <f t="shared" si="1"/>
        <v>9.3262577199116432E-4</v>
      </c>
      <c r="Z18" s="114">
        <f t="shared" si="2"/>
        <v>2.9022238343296428E-4</v>
      </c>
      <c r="AA18" s="114">
        <f t="shared" si="3"/>
        <v>1.5317648602445641E-3</v>
      </c>
      <c r="AB18" s="114">
        <f t="shared" si="4"/>
        <v>0.10055391386820144</v>
      </c>
      <c r="AC18" s="114">
        <f t="shared" si="32"/>
        <v>0.10330852688387013</v>
      </c>
      <c r="AD18" s="114">
        <f t="shared" si="33"/>
        <v>0.89669147311612984</v>
      </c>
      <c r="AE18" s="114">
        <f t="shared" si="44"/>
        <v>0.21873064889534977</v>
      </c>
      <c r="AF18" s="83">
        <f t="shared" si="5"/>
        <v>157.22699595289762</v>
      </c>
      <c r="AG18" s="83">
        <f t="shared" si="6"/>
        <v>0</v>
      </c>
      <c r="AH18" s="83">
        <f t="shared" si="7"/>
        <v>48.927227700380641</v>
      </c>
      <c r="AI18" s="83">
        <f t="shared" si="8"/>
        <v>0</v>
      </c>
      <c r="AJ18" s="83">
        <f t="shared" si="9"/>
        <v>258.23303914096056</v>
      </c>
      <c r="AK18" s="83">
        <f t="shared" si="10"/>
        <v>0</v>
      </c>
      <c r="AL18" s="83">
        <f>IF(U18="","",VLOOKUP($U$5+U18,'Valores Garantizados'!O17:P36,2,0)*X18*AE18*AB18)</f>
        <v>192.4033765932497</v>
      </c>
      <c r="AO18" s="83">
        <f t="shared" si="34"/>
        <v>7</v>
      </c>
      <c r="AP18" s="83">
        <f t="shared" si="35"/>
        <v>0.6788326377532854</v>
      </c>
      <c r="AQ18" s="83">
        <f t="shared" si="36"/>
        <v>74.240751673559004</v>
      </c>
      <c r="AR18" s="83">
        <f t="shared" si="11"/>
        <v>4.4544451004135404</v>
      </c>
      <c r="AS18" s="83">
        <f t="shared" si="37"/>
        <v>7</v>
      </c>
      <c r="AT18" s="83">
        <f t="shared" si="38"/>
        <v>0.6788326377532854</v>
      </c>
      <c r="AU18" s="83">
        <f t="shared" si="39"/>
        <v>0.21873064889534977</v>
      </c>
      <c r="AV18" s="83">
        <f t="shared" si="40"/>
        <v>1</v>
      </c>
      <c r="AW18" s="83">
        <f t="shared" si="41"/>
        <v>130.5649276494749</v>
      </c>
      <c r="AY18" s="105">
        <f t="shared" si="42"/>
        <v>32</v>
      </c>
      <c r="AZ18" s="105">
        <f t="shared" si="43"/>
        <v>7</v>
      </c>
      <c r="BA18" s="105">
        <f t="shared" si="12"/>
        <v>39</v>
      </c>
      <c r="BB18" s="105">
        <f t="shared" si="13"/>
        <v>9.8299999999999993E-4</v>
      </c>
      <c r="BC18" s="105">
        <f t="shared" si="14"/>
        <v>3.0600000000000001E-4</v>
      </c>
      <c r="BD18" s="105">
        <f t="shared" si="15"/>
        <v>1.614E-3</v>
      </c>
      <c r="BE18" s="106">
        <f t="shared" si="16"/>
        <v>0.1007</v>
      </c>
      <c r="BF18" s="105">
        <f t="shared" si="17"/>
        <v>0.89669147311612984</v>
      </c>
      <c r="BH18" s="105">
        <f t="shared" si="18"/>
        <v>32</v>
      </c>
      <c r="BI18" s="105">
        <f t="shared" si="19"/>
        <v>7</v>
      </c>
      <c r="BJ18" s="105">
        <f t="shared" si="20"/>
        <v>39</v>
      </c>
      <c r="BK18" s="106">
        <f t="shared" si="21"/>
        <v>9.3262577199116432E-4</v>
      </c>
      <c r="BL18" s="106">
        <f t="shared" si="22"/>
        <v>2.9022238343296428E-4</v>
      </c>
      <c r="BM18" s="106">
        <f t="shared" si="23"/>
        <v>1.5317648602445641E-3</v>
      </c>
      <c r="BN18" s="106">
        <f t="shared" si="24"/>
        <v>0.10055391386820144</v>
      </c>
      <c r="BO18" s="106">
        <f t="shared" si="25"/>
        <v>0.10330852688387013</v>
      </c>
      <c r="BP18" s="106">
        <f t="shared" si="26"/>
        <v>0.89669147311612984</v>
      </c>
      <c r="BQ18" s="106">
        <f t="shared" si="27"/>
        <v>0</v>
      </c>
    </row>
    <row r="19" spans="2:69" x14ac:dyDescent="0.25">
      <c r="B19" s="98">
        <v>13</v>
      </c>
      <c r="C19" s="99">
        <v>4.6299999999999998E-4</v>
      </c>
      <c r="E19" s="88">
        <v>13</v>
      </c>
      <c r="F19" s="102">
        <v>1.9999999999999999E-6</v>
      </c>
      <c r="H19" s="88">
        <v>14</v>
      </c>
      <c r="I19" s="93">
        <v>9.9400000000000009E-4</v>
      </c>
      <c r="K19" s="103">
        <v>14</v>
      </c>
      <c r="L19" s="104">
        <v>7.0900000000000005E-2</v>
      </c>
      <c r="T19" s="83">
        <f t="shared" si="0"/>
        <v>32</v>
      </c>
      <c r="U19" s="83">
        <f t="shared" si="28"/>
        <v>8</v>
      </c>
      <c r="V19" s="83">
        <f t="shared" si="29"/>
        <v>40</v>
      </c>
      <c r="W19" s="83">
        <f t="shared" si="30"/>
        <v>9</v>
      </c>
      <c r="X19" s="114">
        <f t="shared" si="31"/>
        <v>0.60102174520796448</v>
      </c>
      <c r="Y19" s="114">
        <f t="shared" si="1"/>
        <v>9.8373446540276233E-4</v>
      </c>
      <c r="Z19" s="114">
        <f t="shared" si="2"/>
        <v>3.28435200805429E-4</v>
      </c>
      <c r="AA19" s="114">
        <f t="shared" si="3"/>
        <v>1.5851331527302621E-3</v>
      </c>
      <c r="AB19" s="114">
        <f t="shared" si="4"/>
        <v>9.3357869058387888E-2</v>
      </c>
      <c r="AC19" s="114">
        <f t="shared" si="32"/>
        <v>9.6255171877326337E-2</v>
      </c>
      <c r="AD19" s="114">
        <f t="shared" si="33"/>
        <v>0.90374482812267365</v>
      </c>
      <c r="AE19" s="114">
        <f t="shared" si="44"/>
        <v>0.19613390777361817</v>
      </c>
      <c r="AF19" s="83">
        <f t="shared" si="5"/>
        <v>156.55052281331587</v>
      </c>
      <c r="AG19" s="83">
        <f t="shared" si="6"/>
        <v>0</v>
      </c>
      <c r="AH19" s="83">
        <f t="shared" si="7"/>
        <v>52.26685066415272</v>
      </c>
      <c r="AI19" s="83">
        <f t="shared" si="8"/>
        <v>0</v>
      </c>
      <c r="AJ19" s="83">
        <f t="shared" si="9"/>
        <v>252.25651079231304</v>
      </c>
      <c r="AK19" s="83">
        <f t="shared" si="10"/>
        <v>0</v>
      </c>
      <c r="AL19" s="83">
        <f>IF(U19="","",VLOOKUP($U$5+U19,'Valores Garantizados'!O18:P37,2,0)*X19*AE19*AB19)</f>
        <v>157.92773569322028</v>
      </c>
      <c r="AO19" s="83">
        <f t="shared" si="34"/>
        <v>8</v>
      </c>
      <c r="AP19" s="83">
        <f t="shared" si="35"/>
        <v>0.63600121077906802</v>
      </c>
      <c r="AQ19" s="83">
        <f t="shared" si="36"/>
        <v>62.370701409425607</v>
      </c>
      <c r="AR19" s="83">
        <f t="shared" si="11"/>
        <v>3.7422420845655364</v>
      </c>
      <c r="AS19" s="107"/>
      <c r="AT19" s="107"/>
      <c r="AU19" s="107"/>
      <c r="AY19" s="105">
        <f t="shared" si="42"/>
        <v>32</v>
      </c>
      <c r="AZ19" s="105">
        <f t="shared" si="43"/>
        <v>8</v>
      </c>
      <c r="BA19" s="105">
        <f t="shared" si="12"/>
        <v>40</v>
      </c>
      <c r="BB19" s="105">
        <f t="shared" si="13"/>
        <v>1.0330000000000001E-3</v>
      </c>
      <c r="BC19" s="105">
        <f t="shared" si="14"/>
        <v>3.4499999999999998E-4</v>
      </c>
      <c r="BD19" s="105">
        <f t="shared" si="15"/>
        <v>1.6639999999999999E-3</v>
      </c>
      <c r="BE19" s="106">
        <f t="shared" si="16"/>
        <v>9.35E-2</v>
      </c>
      <c r="BF19" s="105">
        <f t="shared" si="17"/>
        <v>0.90374482812267354</v>
      </c>
      <c r="BH19" s="105">
        <f t="shared" si="18"/>
        <v>32</v>
      </c>
      <c r="BI19" s="105">
        <f t="shared" si="19"/>
        <v>8</v>
      </c>
      <c r="BJ19" s="105">
        <f t="shared" si="20"/>
        <v>40</v>
      </c>
      <c r="BK19" s="106">
        <f t="shared" si="21"/>
        <v>9.8373446540276233E-4</v>
      </c>
      <c r="BL19" s="106">
        <f t="shared" si="22"/>
        <v>3.28435200805429E-4</v>
      </c>
      <c r="BM19" s="106">
        <f t="shared" si="23"/>
        <v>1.5851331527302621E-3</v>
      </c>
      <c r="BN19" s="106">
        <f t="shared" si="24"/>
        <v>9.3357869058387888E-2</v>
      </c>
      <c r="BO19" s="106">
        <f t="shared" si="25"/>
        <v>9.6255171877326337E-2</v>
      </c>
      <c r="BP19" s="106">
        <f t="shared" si="26"/>
        <v>0.90374482812267365</v>
      </c>
      <c r="BQ19" s="106">
        <f t="shared" si="27"/>
        <v>0</v>
      </c>
    </row>
    <row r="20" spans="2:69" x14ac:dyDescent="0.25">
      <c r="B20" s="98">
        <v>14</v>
      </c>
      <c r="C20" s="99">
        <v>4.6799999999999999E-4</v>
      </c>
      <c r="E20" s="88">
        <v>14</v>
      </c>
      <c r="F20" s="100">
        <v>3.0000000000000001E-6</v>
      </c>
      <c r="H20" s="88">
        <v>15</v>
      </c>
      <c r="I20" s="101">
        <v>1.003E-3</v>
      </c>
      <c r="K20" s="98">
        <v>15</v>
      </c>
      <c r="L20" s="99">
        <v>6.7900000000000002E-2</v>
      </c>
      <c r="N20" s="230" t="s">
        <v>37</v>
      </c>
      <c r="O20" s="230"/>
      <c r="P20" s="230"/>
      <c r="Q20" s="230"/>
      <c r="R20" s="230"/>
      <c r="T20" s="83">
        <f t="shared" si="0"/>
        <v>32</v>
      </c>
      <c r="U20" s="83">
        <f t="shared" si="28"/>
        <v>9</v>
      </c>
      <c r="V20" s="83">
        <f t="shared" si="29"/>
        <v>41</v>
      </c>
      <c r="W20" s="83">
        <f t="shared" si="30"/>
        <v>10</v>
      </c>
      <c r="X20" s="114">
        <f t="shared" si="31"/>
        <v>0.56528943556254607</v>
      </c>
      <c r="Y20" s="114">
        <f t="shared" si="1"/>
        <v>1.0383666448646805E-3</v>
      </c>
      <c r="Z20" s="114">
        <f t="shared" si="2"/>
        <v>3.6955786903134711E-4</v>
      </c>
      <c r="AA20" s="114">
        <f t="shared" si="3"/>
        <v>1.6416454187771804E-3</v>
      </c>
      <c r="AB20" s="114">
        <f t="shared" si="4"/>
        <v>8.7360436113386564E-2</v>
      </c>
      <c r="AC20" s="114">
        <f t="shared" si="32"/>
        <v>9.0410006046059768E-2</v>
      </c>
      <c r="AD20" s="114">
        <f t="shared" si="33"/>
        <v>0.90958999395394025</v>
      </c>
      <c r="AE20" s="114">
        <f t="shared" si="44"/>
        <v>0.17725500476989686</v>
      </c>
      <c r="AF20" s="83">
        <f t="shared" si="5"/>
        <v>156.06710107957412</v>
      </c>
      <c r="AG20" s="83">
        <f t="shared" si="6"/>
        <v>0</v>
      </c>
      <c r="AH20" s="83">
        <f t="shared" si="7"/>
        <v>55.544759248679021</v>
      </c>
      <c r="AI20" s="83">
        <f t="shared" si="8"/>
        <v>0</v>
      </c>
      <c r="AJ20" s="83">
        <f t="shared" si="9"/>
        <v>246.74024611268862</v>
      </c>
      <c r="AK20" s="83">
        <f t="shared" si="10"/>
        <v>0</v>
      </c>
      <c r="AL20" s="83">
        <f>IF(U20="","",VLOOKUP($U$5+U20,'Valores Garantizados'!O19:P38,2,0)*X20*AE20*AB20)</f>
        <v>127.94289091500374</v>
      </c>
      <c r="AO20" s="83">
        <f t="shared" si="34"/>
        <v>9</v>
      </c>
      <c r="AP20" s="83">
        <f t="shared" si="35"/>
        <v>0.59847192543006755</v>
      </c>
      <c r="AQ20" s="83">
        <f t="shared" si="36"/>
        <v>53.041071998377994</v>
      </c>
      <c r="AR20" s="83">
        <f t="shared" si="11"/>
        <v>3.1824643199026794</v>
      </c>
      <c r="AS20" s="107"/>
      <c r="AT20" s="107"/>
      <c r="AU20" s="107"/>
      <c r="AY20" s="105">
        <f t="shared" si="42"/>
        <v>32</v>
      </c>
      <c r="AZ20" s="105">
        <f t="shared" si="43"/>
        <v>9</v>
      </c>
      <c r="BA20" s="105">
        <f t="shared" si="12"/>
        <v>41</v>
      </c>
      <c r="BB20" s="105">
        <f t="shared" si="13"/>
        <v>1.0870000000000001E-3</v>
      </c>
      <c r="BC20" s="105">
        <f t="shared" si="14"/>
        <v>3.8699999999999997E-4</v>
      </c>
      <c r="BD20" s="105">
        <f t="shared" si="15"/>
        <v>1.7179999999999999E-3</v>
      </c>
      <c r="BE20" s="106">
        <f t="shared" si="16"/>
        <v>8.7499999999999994E-2</v>
      </c>
      <c r="BF20" s="105">
        <f t="shared" si="17"/>
        <v>0.90958999395394013</v>
      </c>
      <c r="BH20" s="105">
        <f t="shared" si="18"/>
        <v>32</v>
      </c>
      <c r="BI20" s="105">
        <f t="shared" si="19"/>
        <v>9</v>
      </c>
      <c r="BJ20" s="105">
        <f t="shared" si="20"/>
        <v>41</v>
      </c>
      <c r="BK20" s="106">
        <f t="shared" si="21"/>
        <v>1.0383666448646805E-3</v>
      </c>
      <c r="BL20" s="106">
        <f t="shared" si="22"/>
        <v>3.6955786903134711E-4</v>
      </c>
      <c r="BM20" s="106">
        <f t="shared" si="23"/>
        <v>1.6416454187771804E-3</v>
      </c>
      <c r="BN20" s="106">
        <f t="shared" si="24"/>
        <v>8.7360436113386564E-2</v>
      </c>
      <c r="BO20" s="106">
        <f t="shared" si="25"/>
        <v>9.0410006046059768E-2</v>
      </c>
      <c r="BP20" s="106">
        <f t="shared" si="26"/>
        <v>0.90958999395394025</v>
      </c>
      <c r="BQ20" s="106">
        <f t="shared" si="27"/>
        <v>0</v>
      </c>
    </row>
    <row r="21" spans="2:69" ht="15" customHeight="1" x14ac:dyDescent="0.25">
      <c r="B21" s="98">
        <v>15</v>
      </c>
      <c r="C21" s="99">
        <v>4.75E-4</v>
      </c>
      <c r="E21" s="88">
        <v>15</v>
      </c>
      <c r="F21" s="102">
        <v>3.9999999999999998E-6</v>
      </c>
      <c r="H21" s="88">
        <v>16</v>
      </c>
      <c r="I21" s="93">
        <v>1.0139999999999999E-3</v>
      </c>
      <c r="K21" s="103">
        <v>16</v>
      </c>
      <c r="L21" s="104">
        <v>6.5199999999999994E-2</v>
      </c>
      <c r="N21" s="121" t="s">
        <v>39</v>
      </c>
      <c r="O21" s="121" t="s">
        <v>38</v>
      </c>
      <c r="P21" s="121" t="s">
        <v>40</v>
      </c>
      <c r="Q21" s="121" t="s">
        <v>43</v>
      </c>
      <c r="R21" s="121" t="s">
        <v>41</v>
      </c>
      <c r="T21" s="83">
        <f t="shared" si="0"/>
        <v>32</v>
      </c>
      <c r="U21" s="83">
        <f t="shared" si="28"/>
        <v>10</v>
      </c>
      <c r="V21" s="83">
        <f t="shared" si="29"/>
        <v>42</v>
      </c>
      <c r="W21" s="83">
        <f t="shared" si="30"/>
        <v>11</v>
      </c>
      <c r="X21" s="114">
        <f t="shared" si="31"/>
        <v>0.53450185132829275</v>
      </c>
      <c r="Y21" s="114">
        <f t="shared" si="1"/>
        <v>1.0966316353390798E-3</v>
      </c>
      <c r="Z21" s="114">
        <f t="shared" si="2"/>
        <v>4.1456322296574646E-4</v>
      </c>
      <c r="AA21" s="114">
        <f t="shared" si="3"/>
        <v>1.7005467329710799E-3</v>
      </c>
      <c r="AB21" s="114">
        <f t="shared" si="4"/>
        <v>8.2261946932192964E-2</v>
      </c>
      <c r="AC21" s="114">
        <f t="shared" si="32"/>
        <v>8.5473688523468871E-2</v>
      </c>
      <c r="AD21" s="114">
        <f t="shared" si="33"/>
        <v>0.91452631147653118</v>
      </c>
      <c r="AE21" s="114">
        <f t="shared" si="44"/>
        <v>0.16122937871695614</v>
      </c>
      <c r="AF21" s="83">
        <f t="shared" si="5"/>
        <v>155.93302665683703</v>
      </c>
      <c r="AG21" s="83">
        <f t="shared" si="6"/>
        <v>0</v>
      </c>
      <c r="AH21" s="83">
        <f t="shared" si="7"/>
        <v>58.947869106178011</v>
      </c>
      <c r="AI21" s="83">
        <f t="shared" si="8"/>
        <v>0</v>
      </c>
      <c r="AJ21" s="83">
        <f t="shared" si="9"/>
        <v>241.80535240676804</v>
      </c>
      <c r="AK21" s="83">
        <f t="shared" si="10"/>
        <v>0</v>
      </c>
      <c r="AL21" s="83">
        <f>IF(U21="","",VLOOKUP($U$5+U21,'Valores Garantizados'!O20:P39,2,0)*X21*AE21*AB21)</f>
        <v>104.05734410202182</v>
      </c>
      <c r="AO21" s="83">
        <f t="shared" si="34"/>
        <v>10</v>
      </c>
      <c r="AP21" s="83">
        <f t="shared" si="35"/>
        <v>0.5658236598161307</v>
      </c>
      <c r="AQ21" s="83">
        <f t="shared" si="36"/>
        <v>45.613698567754547</v>
      </c>
      <c r="AR21" s="83">
        <f t="shared" si="11"/>
        <v>2.7368219140652728</v>
      </c>
      <c r="AS21" s="107"/>
      <c r="AT21" s="107"/>
      <c r="AU21" s="107"/>
      <c r="AY21" s="105">
        <f t="shared" si="42"/>
        <v>32</v>
      </c>
      <c r="AZ21" s="105">
        <f t="shared" si="43"/>
        <v>10</v>
      </c>
      <c r="BA21" s="105">
        <f t="shared" si="12"/>
        <v>42</v>
      </c>
      <c r="BB21" s="105">
        <f t="shared" si="13"/>
        <v>1.145E-3</v>
      </c>
      <c r="BC21" s="105">
        <f t="shared" si="14"/>
        <v>4.3300000000000001E-4</v>
      </c>
      <c r="BD21" s="105">
        <f t="shared" si="15"/>
        <v>1.7750000000000001E-3</v>
      </c>
      <c r="BE21" s="106">
        <f t="shared" si="16"/>
        <v>8.2400000000000001E-2</v>
      </c>
      <c r="BF21" s="105">
        <f t="shared" si="17"/>
        <v>0.9145263114765313</v>
      </c>
      <c r="BH21" s="105">
        <f t="shared" si="18"/>
        <v>32</v>
      </c>
      <c r="BI21" s="105">
        <f t="shared" si="19"/>
        <v>10</v>
      </c>
      <c r="BJ21" s="105">
        <f t="shared" si="20"/>
        <v>42</v>
      </c>
      <c r="BK21" s="106">
        <f t="shared" si="21"/>
        <v>1.0966316353390798E-3</v>
      </c>
      <c r="BL21" s="106">
        <f t="shared" si="22"/>
        <v>4.1456322296574646E-4</v>
      </c>
      <c r="BM21" s="106">
        <f t="shared" si="23"/>
        <v>1.7005467329710799E-3</v>
      </c>
      <c r="BN21" s="106">
        <f t="shared" si="24"/>
        <v>8.2261946932192964E-2</v>
      </c>
      <c r="BO21" s="106">
        <f t="shared" si="25"/>
        <v>8.5473688523468871E-2</v>
      </c>
      <c r="BP21" s="106">
        <f t="shared" si="26"/>
        <v>0.91452631147653118</v>
      </c>
      <c r="BQ21" s="106">
        <f t="shared" si="27"/>
        <v>0</v>
      </c>
    </row>
    <row r="22" spans="2:69" x14ac:dyDescent="0.25">
      <c r="B22" s="98">
        <v>16</v>
      </c>
      <c r="C22" s="99">
        <v>4.8200000000000001E-4</v>
      </c>
      <c r="E22" s="88">
        <v>16</v>
      </c>
      <c r="F22" s="100">
        <v>5.0000000000000004E-6</v>
      </c>
      <c r="H22" s="88">
        <v>17</v>
      </c>
      <c r="I22" s="101">
        <v>1.0250000000000001E-3</v>
      </c>
      <c r="K22" s="98">
        <v>17</v>
      </c>
      <c r="L22" s="99">
        <v>6.2799999999999995E-2</v>
      </c>
      <c r="N22" s="105">
        <v>0</v>
      </c>
      <c r="O22" s="122">
        <v>2500</v>
      </c>
      <c r="P22" s="122">
        <v>500</v>
      </c>
      <c r="Q22" s="122">
        <v>30</v>
      </c>
      <c r="R22" s="122">
        <v>1000</v>
      </c>
      <c r="T22" s="83">
        <f t="shared" si="0"/>
        <v>32</v>
      </c>
      <c r="U22" s="83">
        <f t="shared" si="28"/>
        <v>11</v>
      </c>
      <c r="V22" s="83">
        <f t="shared" si="29"/>
        <v>43</v>
      </c>
      <c r="W22" s="83">
        <f t="shared" si="30"/>
        <v>12</v>
      </c>
      <c r="X22" s="114">
        <f t="shared" si="31"/>
        <v>0.51009368593497662</v>
      </c>
      <c r="Y22" s="114">
        <f t="shared" si="1"/>
        <v>1.1595001892069257E-3</v>
      </c>
      <c r="Z22" s="114">
        <f t="shared" si="2"/>
        <v>4.6440207288225897E-4</v>
      </c>
      <c r="AA22" s="114">
        <f t="shared" si="3"/>
        <v>1.7618720054905256E-3</v>
      </c>
      <c r="AB22" s="114">
        <f t="shared" si="4"/>
        <v>7.7962366678827222E-2</v>
      </c>
      <c r="AC22" s="114">
        <f t="shared" si="32"/>
        <v>8.1348140946406938E-2</v>
      </c>
      <c r="AD22" s="114">
        <f t="shared" si="33"/>
        <v>0.91865185905359303</v>
      </c>
      <c r="AE22" s="114">
        <f t="shared" si="44"/>
        <v>0.14744850901967063</v>
      </c>
      <c r="AF22" s="83">
        <f t="shared" si="5"/>
        <v>156.9761459238679</v>
      </c>
      <c r="AG22" s="83">
        <f t="shared" si="6"/>
        <v>0</v>
      </c>
      <c r="AH22" s="83">
        <f t="shared" si="7"/>
        <v>62.871958313326672</v>
      </c>
      <c r="AI22" s="83">
        <f t="shared" si="8"/>
        <v>0</v>
      </c>
      <c r="AJ22" s="83">
        <f t="shared" si="9"/>
        <v>238.52680629765834</v>
      </c>
      <c r="AK22" s="83">
        <f t="shared" si="10"/>
        <v>0</v>
      </c>
      <c r="AL22" s="83">
        <f>IF(U22="","",VLOOKUP($U$5+U22,'Valores Garantizados'!O21:P40,2,0)*X22*AE22*AB22)</f>
        <v>84.972508574397565</v>
      </c>
      <c r="AO22" s="83">
        <f t="shared" si="34"/>
        <v>11</v>
      </c>
      <c r="AP22" s="83">
        <f t="shared" si="35"/>
        <v>0.5395260916134248</v>
      </c>
      <c r="AQ22" s="83">
        <f t="shared" si="36"/>
        <v>39.776158892804858</v>
      </c>
      <c r="AR22" s="83">
        <f t="shared" si="11"/>
        <v>2.3865695335682915</v>
      </c>
      <c r="AS22" s="107"/>
      <c r="AT22" s="107"/>
      <c r="AU22" s="107"/>
      <c r="AY22" s="105">
        <f t="shared" si="42"/>
        <v>32</v>
      </c>
      <c r="AZ22" s="105">
        <f t="shared" si="43"/>
        <v>11</v>
      </c>
      <c r="BA22" s="105">
        <f t="shared" si="12"/>
        <v>43</v>
      </c>
      <c r="BB22" s="105">
        <f t="shared" si="13"/>
        <v>1.2080000000000001E-3</v>
      </c>
      <c r="BC22" s="105">
        <f t="shared" si="14"/>
        <v>4.84E-4</v>
      </c>
      <c r="BD22" s="105">
        <f t="shared" si="15"/>
        <v>1.835E-3</v>
      </c>
      <c r="BE22" s="106">
        <f t="shared" si="16"/>
        <v>7.8100000000000003E-2</v>
      </c>
      <c r="BF22" s="105">
        <f t="shared" si="17"/>
        <v>0.91865185905359303</v>
      </c>
      <c r="BH22" s="105">
        <f t="shared" si="18"/>
        <v>32</v>
      </c>
      <c r="BI22" s="105">
        <f t="shared" si="19"/>
        <v>11</v>
      </c>
      <c r="BJ22" s="105">
        <f t="shared" si="20"/>
        <v>43</v>
      </c>
      <c r="BK22" s="106">
        <f t="shared" si="21"/>
        <v>1.1595001892069257E-3</v>
      </c>
      <c r="BL22" s="106">
        <f t="shared" si="22"/>
        <v>4.6440207288225897E-4</v>
      </c>
      <c r="BM22" s="106">
        <f t="shared" si="23"/>
        <v>1.7618720054905256E-3</v>
      </c>
      <c r="BN22" s="106">
        <f t="shared" si="24"/>
        <v>7.7962366678827222E-2</v>
      </c>
      <c r="BO22" s="106">
        <f t="shared" si="25"/>
        <v>8.1348140946406938E-2</v>
      </c>
      <c r="BP22" s="106">
        <f t="shared" si="26"/>
        <v>0.91865185905359303</v>
      </c>
      <c r="BQ22" s="106">
        <f t="shared" si="27"/>
        <v>0</v>
      </c>
    </row>
    <row r="23" spans="2:69" x14ac:dyDescent="0.25">
      <c r="B23" s="98">
        <v>17</v>
      </c>
      <c r="C23" s="99">
        <v>4.8899999999999996E-4</v>
      </c>
      <c r="E23" s="88">
        <v>17</v>
      </c>
      <c r="F23" s="102">
        <v>6.9999999999999999E-6</v>
      </c>
      <c r="H23" s="88">
        <v>18</v>
      </c>
      <c r="I23" s="93">
        <v>1.0369999999999999E-3</v>
      </c>
      <c r="K23" s="103">
        <v>18</v>
      </c>
      <c r="L23" s="99">
        <v>6.2799999999999995E-2</v>
      </c>
      <c r="N23" s="105">
        <v>1</v>
      </c>
      <c r="O23" s="122">
        <v>2500</v>
      </c>
      <c r="P23" s="122">
        <v>500</v>
      </c>
      <c r="Q23" s="122">
        <v>30</v>
      </c>
      <c r="R23" s="123" t="s">
        <v>102</v>
      </c>
      <c r="T23" s="83">
        <f t="shared" si="0"/>
        <v>32</v>
      </c>
      <c r="U23" s="83">
        <f t="shared" si="28"/>
        <v>12</v>
      </c>
      <c r="V23" s="83">
        <f t="shared" si="29"/>
        <v>44</v>
      </c>
      <c r="W23" s="83">
        <f t="shared" si="30"/>
        <v>13</v>
      </c>
      <c r="X23" s="114">
        <f t="shared" si="31"/>
        <v>0.47579390660771403</v>
      </c>
      <c r="Y23" s="114">
        <f t="shared" si="1"/>
        <v>1.2290413896958439E-3</v>
      </c>
      <c r="Z23" s="114">
        <f t="shared" si="2"/>
        <v>5.1816251481917705E-4</v>
      </c>
      <c r="AA23" s="114">
        <f t="shared" si="3"/>
        <v>1.827774763918977E-3</v>
      </c>
      <c r="AB23" s="114">
        <f t="shared" si="4"/>
        <v>7.416201598797259E-2</v>
      </c>
      <c r="AC23" s="114">
        <f t="shared" si="32"/>
        <v>7.7736994656406586E-2</v>
      </c>
      <c r="AD23" s="114">
        <f t="shared" si="33"/>
        <v>0.9222630053435934</v>
      </c>
      <c r="AE23" s="114">
        <f t="shared" si="44"/>
        <v>0.13545384692560092</v>
      </c>
      <c r="AF23" s="83">
        <f t="shared" si="5"/>
        <v>154.45833158969211</v>
      </c>
      <c r="AG23" s="83">
        <f t="shared" si="6"/>
        <v>0</v>
      </c>
      <c r="AH23" s="83">
        <f t="shared" si="7"/>
        <v>65.119464814033392</v>
      </c>
      <c r="AI23" s="83">
        <f t="shared" si="8"/>
        <v>0</v>
      </c>
      <c r="AJ23" s="83">
        <f t="shared" si="9"/>
        <v>229.70344442715171</v>
      </c>
      <c r="AK23" s="83">
        <f t="shared" si="10"/>
        <v>0</v>
      </c>
      <c r="AL23" s="83">
        <f>IF(U23="","",VLOOKUP($U$5+U23,'Valores Garantizados'!O22:P41,2,0)*X23*AE23*AB23)</f>
        <v>66.908962980450411</v>
      </c>
      <c r="AO23" s="83">
        <f t="shared" si="34"/>
        <v>12</v>
      </c>
      <c r="AP23" s="83">
        <f t="shared" si="35"/>
        <v>0.50377058831624755</v>
      </c>
      <c r="AQ23" s="83">
        <f t="shared" si="36"/>
        <v>34.118832077704454</v>
      </c>
      <c r="AR23" s="83">
        <f t="shared" si="11"/>
        <v>2.0471299246622672</v>
      </c>
      <c r="AS23" s="107"/>
      <c r="AT23" s="107"/>
      <c r="AU23" s="107"/>
      <c r="AY23" s="105">
        <f t="shared" si="42"/>
        <v>32</v>
      </c>
      <c r="AZ23" s="105">
        <f t="shared" si="43"/>
        <v>12</v>
      </c>
      <c r="BA23" s="105">
        <f t="shared" si="12"/>
        <v>44</v>
      </c>
      <c r="BB23" s="105">
        <f t="shared" si="13"/>
        <v>1.2780000000000001E-3</v>
      </c>
      <c r="BC23" s="105">
        <f t="shared" si="14"/>
        <v>5.3899999999999998E-4</v>
      </c>
      <c r="BD23" s="105">
        <f t="shared" si="15"/>
        <v>1.9E-3</v>
      </c>
      <c r="BE23" s="106">
        <f t="shared" si="16"/>
        <v>7.4300000000000005E-2</v>
      </c>
      <c r="BF23" s="105">
        <f t="shared" si="17"/>
        <v>0.92226300534359351</v>
      </c>
      <c r="BH23" s="105">
        <f t="shared" si="18"/>
        <v>32</v>
      </c>
      <c r="BI23" s="105">
        <f t="shared" si="19"/>
        <v>12</v>
      </c>
      <c r="BJ23" s="105">
        <f t="shared" si="20"/>
        <v>44</v>
      </c>
      <c r="BK23" s="106">
        <f t="shared" si="21"/>
        <v>1.2290413896958439E-3</v>
      </c>
      <c r="BL23" s="106">
        <f t="shared" si="22"/>
        <v>5.1816251481917705E-4</v>
      </c>
      <c r="BM23" s="106">
        <f t="shared" si="23"/>
        <v>1.827774763918977E-3</v>
      </c>
      <c r="BN23" s="106">
        <f t="shared" si="24"/>
        <v>7.416201598797259E-2</v>
      </c>
      <c r="BO23" s="106">
        <f t="shared" si="25"/>
        <v>7.7736994656406586E-2</v>
      </c>
      <c r="BP23" s="106">
        <f t="shared" si="26"/>
        <v>0.9222630053435934</v>
      </c>
      <c r="BQ23" s="106">
        <f t="shared" si="27"/>
        <v>0</v>
      </c>
    </row>
    <row r="24" spans="2:69" x14ac:dyDescent="0.25">
      <c r="B24" s="98">
        <v>18</v>
      </c>
      <c r="C24" s="99">
        <v>4.9799999999999996E-4</v>
      </c>
      <c r="E24" s="88">
        <v>18</v>
      </c>
      <c r="F24" s="100">
        <v>9.0000000000000002E-6</v>
      </c>
      <c r="H24" s="88">
        <v>19</v>
      </c>
      <c r="I24" s="101">
        <v>1.0499999999999999E-3</v>
      </c>
      <c r="K24" s="103" t="s">
        <v>68</v>
      </c>
      <c r="L24" s="99">
        <v>6.2799999999999995E-2</v>
      </c>
      <c r="N24" s="105">
        <v>2</v>
      </c>
      <c r="O24" s="122">
        <v>2500</v>
      </c>
      <c r="P24" s="122">
        <v>500</v>
      </c>
      <c r="Q24" s="122">
        <v>30</v>
      </c>
      <c r="R24" s="123" t="s">
        <v>102</v>
      </c>
      <c r="T24" s="83">
        <f t="shared" si="0"/>
        <v>32</v>
      </c>
      <c r="U24" s="83">
        <f t="shared" si="28"/>
        <v>13</v>
      </c>
      <c r="V24" s="83">
        <f t="shared" si="29"/>
        <v>45</v>
      </c>
      <c r="W24" s="83">
        <f t="shared" si="30"/>
        <v>14</v>
      </c>
      <c r="X24" s="114">
        <f t="shared" si="31"/>
        <v>0.44818421689049381</v>
      </c>
      <c r="Y24" s="114">
        <f t="shared" si="1"/>
        <v>1.3033821600178714E-3</v>
      </c>
      <c r="Z24" s="114">
        <f t="shared" si="2"/>
        <v>5.7681832717627142E-4</v>
      </c>
      <c r="AA24" s="114">
        <f t="shared" si="3"/>
        <v>1.8964049236833717E-3</v>
      </c>
      <c r="AB24" s="114">
        <f t="shared" si="4"/>
        <v>7.0761145913594253E-2</v>
      </c>
      <c r="AC24" s="114">
        <f t="shared" si="32"/>
        <v>7.4537751324471768E-2</v>
      </c>
      <c r="AD24" s="114">
        <f t="shared" si="33"/>
        <v>0.92546224867552818</v>
      </c>
      <c r="AE24" s="114">
        <f t="shared" si="44"/>
        <v>0.12492407195095576</v>
      </c>
      <c r="AF24" s="83">
        <f t="shared" si="5"/>
        <v>153.24762665908366</v>
      </c>
      <c r="AG24" s="83">
        <f t="shared" si="6"/>
        <v>0</v>
      </c>
      <c r="AH24" s="83">
        <f t="shared" si="7"/>
        <v>67.820507572402519</v>
      </c>
      <c r="AI24" s="83">
        <f t="shared" si="8"/>
        <v>0</v>
      </c>
      <c r="AJ24" s="83">
        <f t="shared" si="9"/>
        <v>222.97340155023491</v>
      </c>
      <c r="AK24" s="83">
        <f t="shared" si="10"/>
        <v>0</v>
      </c>
      <c r="AL24" s="83">
        <f>IF(U24="","",VLOOKUP($U$5+U24,'Valores Garantizados'!O23:P42,2,0)*X24*AE24*AB24)</f>
        <v>52.032615561297064</v>
      </c>
      <c r="AO24" s="83">
        <f t="shared" si="34"/>
        <v>13</v>
      </c>
      <c r="AP24" s="83">
        <f t="shared" si="35"/>
        <v>0.47462708568703293</v>
      </c>
      <c r="AQ24" s="83">
        <f t="shared" si="36"/>
        <v>29.646174101119673</v>
      </c>
      <c r="AR24" s="83">
        <f t="shared" si="11"/>
        <v>1.7787704460671803</v>
      </c>
      <c r="AS24" s="107"/>
      <c r="AT24" s="107"/>
      <c r="AU24" s="107"/>
      <c r="AY24" s="105">
        <f t="shared" si="42"/>
        <v>32</v>
      </c>
      <c r="AZ24" s="105">
        <f t="shared" si="43"/>
        <v>13</v>
      </c>
      <c r="BA24" s="105">
        <f t="shared" si="12"/>
        <v>45</v>
      </c>
      <c r="BB24" s="105">
        <f t="shared" si="13"/>
        <v>1.353E-3</v>
      </c>
      <c r="BC24" s="105">
        <f t="shared" si="14"/>
        <v>5.9900000000000003E-4</v>
      </c>
      <c r="BD24" s="105">
        <f t="shared" si="15"/>
        <v>1.9680000000000001E-3</v>
      </c>
      <c r="BE24" s="106">
        <f t="shared" si="16"/>
        <v>7.0900000000000005E-2</v>
      </c>
      <c r="BF24" s="105">
        <f t="shared" si="17"/>
        <v>0.92546224867552818</v>
      </c>
      <c r="BH24" s="105">
        <f t="shared" si="18"/>
        <v>32</v>
      </c>
      <c r="BI24" s="105">
        <f t="shared" si="19"/>
        <v>13</v>
      </c>
      <c r="BJ24" s="105">
        <f t="shared" si="20"/>
        <v>45</v>
      </c>
      <c r="BK24" s="106">
        <f t="shared" si="21"/>
        <v>1.3033821600178714E-3</v>
      </c>
      <c r="BL24" s="106">
        <f t="shared" si="22"/>
        <v>5.7681832717627142E-4</v>
      </c>
      <c r="BM24" s="106">
        <f t="shared" si="23"/>
        <v>1.8964049236833717E-3</v>
      </c>
      <c r="BN24" s="106">
        <f t="shared" si="24"/>
        <v>7.0761145913594253E-2</v>
      </c>
      <c r="BO24" s="106">
        <f t="shared" si="25"/>
        <v>7.4537751324471768E-2</v>
      </c>
      <c r="BP24" s="106">
        <f t="shared" si="26"/>
        <v>0.92546224867552818</v>
      </c>
      <c r="BQ24" s="106">
        <f t="shared" si="27"/>
        <v>0</v>
      </c>
    </row>
    <row r="25" spans="2:69" x14ac:dyDescent="0.25">
      <c r="B25" s="98">
        <v>19</v>
      </c>
      <c r="C25" s="99">
        <v>5.0699999999999996E-4</v>
      </c>
      <c r="E25" s="88">
        <v>19</v>
      </c>
      <c r="F25" s="102">
        <v>1.2E-5</v>
      </c>
      <c r="H25" s="88">
        <v>20</v>
      </c>
      <c r="I25" s="93">
        <v>1.0640000000000001E-3</v>
      </c>
      <c r="N25" s="105">
        <v>3</v>
      </c>
      <c r="O25" s="122">
        <v>2500</v>
      </c>
      <c r="P25" s="122">
        <v>500</v>
      </c>
      <c r="Q25" s="122">
        <v>30</v>
      </c>
      <c r="R25" s="123" t="s">
        <v>102</v>
      </c>
      <c r="T25" s="83">
        <f t="shared" si="0"/>
        <v>32</v>
      </c>
      <c r="U25" s="83">
        <f t="shared" si="28"/>
        <v>14</v>
      </c>
      <c r="V25" s="83">
        <f t="shared" si="29"/>
        <v>46</v>
      </c>
      <c r="W25" s="83">
        <f t="shared" si="30"/>
        <v>15</v>
      </c>
      <c r="X25" s="114">
        <f t="shared" si="31"/>
        <v>0.40505954208800937</v>
      </c>
      <c r="Y25" s="114">
        <f t="shared" si="1"/>
        <v>1.3844286988863041E-3</v>
      </c>
      <c r="Z25" s="114">
        <f t="shared" si="2"/>
        <v>6.4132041401863721E-4</v>
      </c>
      <c r="AA25" s="114">
        <f t="shared" si="3"/>
        <v>1.9696626248933034E-3</v>
      </c>
      <c r="AB25" s="114">
        <f t="shared" si="4"/>
        <v>6.7759531624092387E-2</v>
      </c>
      <c r="AC25" s="114">
        <f t="shared" si="32"/>
        <v>7.175494336189063E-2</v>
      </c>
      <c r="AD25" s="114">
        <f t="shared" si="33"/>
        <v>0.92824505663810941</v>
      </c>
      <c r="AE25" s="114">
        <f t="shared" si="44"/>
        <v>0.11561251254143499</v>
      </c>
      <c r="AF25" s="83">
        <f t="shared" si="5"/>
        <v>145.87363951047146</v>
      </c>
      <c r="AG25" s="83">
        <f t="shared" si="6"/>
        <v>0</v>
      </c>
      <c r="AH25" s="83">
        <f t="shared" si="7"/>
        <v>67.574258580826992</v>
      </c>
      <c r="AI25" s="83">
        <f t="shared" si="8"/>
        <v>0</v>
      </c>
      <c r="AJ25" s="83">
        <f t="shared" si="9"/>
        <v>207.53821120009223</v>
      </c>
      <c r="AK25" s="83">
        <f t="shared" si="10"/>
        <v>0</v>
      </c>
      <c r="AL25" s="83">
        <f>IF(U25="","",VLOOKUP($U$5+U25,'Valores Garantizados'!O24:P43,2,0)*X25*AE25*AB25)</f>
        <v>37.505546920208246</v>
      </c>
      <c r="AO25" s="83">
        <f t="shared" si="34"/>
        <v>14</v>
      </c>
      <c r="AP25" s="83">
        <f t="shared" si="35"/>
        <v>0.43021373965167475</v>
      </c>
      <c r="AQ25" s="83">
        <f t="shared" si="36"/>
        <v>24.869045685488452</v>
      </c>
      <c r="AR25" s="83">
        <f t="shared" si="11"/>
        <v>1.4921427411293071</v>
      </c>
      <c r="AS25" s="107"/>
      <c r="AT25" s="107"/>
      <c r="AU25" s="107"/>
      <c r="AY25" s="105">
        <f t="shared" si="42"/>
        <v>32</v>
      </c>
      <c r="AZ25" s="105">
        <f t="shared" si="43"/>
        <v>14</v>
      </c>
      <c r="BA25" s="105">
        <f t="shared" si="12"/>
        <v>46</v>
      </c>
      <c r="BB25" s="105">
        <f t="shared" si="13"/>
        <v>1.4350000000000001E-3</v>
      </c>
      <c r="BC25" s="105">
        <f t="shared" si="14"/>
        <v>6.6500000000000001E-4</v>
      </c>
      <c r="BD25" s="105">
        <f t="shared" si="15"/>
        <v>2.0409999999999998E-3</v>
      </c>
      <c r="BE25" s="106">
        <f t="shared" si="16"/>
        <v>6.7900000000000002E-2</v>
      </c>
      <c r="BF25" s="105">
        <f t="shared" si="17"/>
        <v>0.92824505663810941</v>
      </c>
      <c r="BH25" s="105">
        <f t="shared" si="18"/>
        <v>32</v>
      </c>
      <c r="BI25" s="105">
        <f t="shared" si="19"/>
        <v>14</v>
      </c>
      <c r="BJ25" s="105">
        <f t="shared" si="20"/>
        <v>46</v>
      </c>
      <c r="BK25" s="106">
        <f t="shared" si="21"/>
        <v>1.3844286988863041E-3</v>
      </c>
      <c r="BL25" s="106">
        <f t="shared" si="22"/>
        <v>6.4132041401863721E-4</v>
      </c>
      <c r="BM25" s="106">
        <f t="shared" si="23"/>
        <v>1.9696626248933034E-3</v>
      </c>
      <c r="BN25" s="106">
        <f t="shared" si="24"/>
        <v>6.7759531624092387E-2</v>
      </c>
      <c r="BO25" s="106">
        <f t="shared" si="25"/>
        <v>7.175494336189063E-2</v>
      </c>
      <c r="BP25" s="106">
        <f t="shared" si="26"/>
        <v>0.92824505663810941</v>
      </c>
      <c r="BQ25" s="106">
        <f t="shared" si="27"/>
        <v>0</v>
      </c>
    </row>
    <row r="26" spans="2:69" x14ac:dyDescent="0.25">
      <c r="B26" s="98">
        <v>20</v>
      </c>
      <c r="C26" s="99">
        <v>5.1699999999999999E-4</v>
      </c>
      <c r="E26" s="88">
        <v>20</v>
      </c>
      <c r="F26" s="100">
        <v>1.4E-5</v>
      </c>
      <c r="H26" s="88">
        <v>21</v>
      </c>
      <c r="I26" s="101">
        <v>1.08E-3</v>
      </c>
      <c r="K26" s="236" t="s">
        <v>48</v>
      </c>
      <c r="L26" s="237"/>
      <c r="N26" s="105">
        <v>4</v>
      </c>
      <c r="O26" s="122">
        <v>2500</v>
      </c>
      <c r="P26" s="122">
        <v>500</v>
      </c>
      <c r="Q26" s="122">
        <v>30</v>
      </c>
      <c r="R26" s="123" t="s">
        <v>102</v>
      </c>
      <c r="T26" s="83">
        <f t="shared" si="0"/>
        <v>32</v>
      </c>
      <c r="U26" s="83">
        <f t="shared" si="28"/>
        <v>15</v>
      </c>
      <c r="V26" s="83">
        <f t="shared" si="29"/>
        <v>47</v>
      </c>
      <c r="W26" s="83">
        <f t="shared" si="30"/>
        <v>16</v>
      </c>
      <c r="X26" s="114">
        <f t="shared" si="31"/>
        <v>0.37965664677386823</v>
      </c>
      <c r="Y26" s="114">
        <f t="shared" si="1"/>
        <v>1.4732041697386692E-3</v>
      </c>
      <c r="Z26" s="114">
        <f t="shared" si="2"/>
        <v>7.1072480212186918E-4</v>
      </c>
      <c r="AA26" s="114">
        <f t="shared" si="3"/>
        <v>2.0466636312085362E-3</v>
      </c>
      <c r="AB26" s="114">
        <f t="shared" si="4"/>
        <v>6.505737303128746E-2</v>
      </c>
      <c r="AC26" s="114">
        <f t="shared" si="32"/>
        <v>6.9287965634356533E-2</v>
      </c>
      <c r="AD26" s="114">
        <f t="shared" si="33"/>
        <v>0.93071203436564343</v>
      </c>
      <c r="AE26" s="114">
        <f t="shared" si="44"/>
        <v>0.10731674325209846</v>
      </c>
      <c r="AF26" s="83">
        <f t="shared" si="5"/>
        <v>144.05643844691113</v>
      </c>
      <c r="AG26" s="83">
        <f t="shared" si="6"/>
        <v>0</v>
      </c>
      <c r="AH26" s="83">
        <f t="shared" si="7"/>
        <v>69.497823731875584</v>
      </c>
      <c r="AI26" s="83">
        <f t="shared" si="8"/>
        <v>0</v>
      </c>
      <c r="AJ26" s="83">
        <f t="shared" si="9"/>
        <v>200.13184829840981</v>
      </c>
      <c r="AK26" s="83">
        <f t="shared" si="10"/>
        <v>0</v>
      </c>
      <c r="AL26" s="83">
        <f>IF(U26="","",VLOOKUP($U$5+U26,'Valores Garantizados'!O25:P44,2,0)*X26*AE26*AB26)</f>
        <v>26.416796778397348</v>
      </c>
      <c r="AO26" s="83">
        <f t="shared" si="34"/>
        <v>15</v>
      </c>
      <c r="AP26" s="83">
        <f t="shared" si="35"/>
        <v>0.40334722153255764</v>
      </c>
      <c r="AQ26" s="83">
        <f t="shared" si="36"/>
        <v>21.642955107328383</v>
      </c>
      <c r="AR26" s="83">
        <f t="shared" si="11"/>
        <v>1.298577306439703</v>
      </c>
      <c r="AS26" s="107"/>
      <c r="AT26" s="107"/>
      <c r="AU26" s="107"/>
      <c r="AY26" s="105">
        <f t="shared" si="42"/>
        <v>32</v>
      </c>
      <c r="AZ26" s="105">
        <f t="shared" si="43"/>
        <v>15</v>
      </c>
      <c r="BA26" s="105">
        <f t="shared" si="12"/>
        <v>47</v>
      </c>
      <c r="BB26" s="105">
        <f t="shared" si="13"/>
        <v>1.5250000000000001E-3</v>
      </c>
      <c r="BC26" s="105">
        <f t="shared" si="14"/>
        <v>7.36E-4</v>
      </c>
      <c r="BD26" s="105">
        <f t="shared" si="15"/>
        <v>2.1180000000000001E-3</v>
      </c>
      <c r="BE26" s="106">
        <f t="shared" si="16"/>
        <v>6.5199999999999994E-2</v>
      </c>
      <c r="BF26" s="105">
        <f t="shared" si="17"/>
        <v>0.93071203436564365</v>
      </c>
      <c r="BH26" s="105">
        <f t="shared" si="18"/>
        <v>32</v>
      </c>
      <c r="BI26" s="105">
        <f t="shared" si="19"/>
        <v>15</v>
      </c>
      <c r="BJ26" s="105">
        <f t="shared" si="20"/>
        <v>47</v>
      </c>
      <c r="BK26" s="106">
        <f t="shared" si="21"/>
        <v>1.4732041697386692E-3</v>
      </c>
      <c r="BL26" s="106">
        <f t="shared" si="22"/>
        <v>7.1072480212186918E-4</v>
      </c>
      <c r="BM26" s="106">
        <f t="shared" si="23"/>
        <v>2.0466636312085362E-3</v>
      </c>
      <c r="BN26" s="106">
        <f t="shared" si="24"/>
        <v>6.505737303128746E-2</v>
      </c>
      <c r="BO26" s="106">
        <f t="shared" si="25"/>
        <v>6.9287965634356533E-2</v>
      </c>
      <c r="BP26" s="106">
        <f t="shared" si="26"/>
        <v>0.93071203436564343</v>
      </c>
      <c r="BQ26" s="106">
        <f t="shared" si="27"/>
        <v>0</v>
      </c>
    </row>
    <row r="27" spans="2:69" x14ac:dyDescent="0.25">
      <c r="B27" s="98">
        <v>21</v>
      </c>
      <c r="C27" s="99">
        <v>5.2800000000000004E-4</v>
      </c>
      <c r="E27" s="88">
        <v>21</v>
      </c>
      <c r="F27" s="102">
        <v>1.8E-5</v>
      </c>
      <c r="H27" s="88">
        <v>22</v>
      </c>
      <c r="I27" s="93">
        <v>1.096E-3</v>
      </c>
      <c r="K27" s="105">
        <v>1</v>
      </c>
      <c r="L27" s="120">
        <v>4.8099999999999997E-2</v>
      </c>
      <c r="N27" s="105">
        <v>5</v>
      </c>
      <c r="O27" s="123" t="s">
        <v>102</v>
      </c>
      <c r="P27" s="122">
        <v>500</v>
      </c>
      <c r="Q27" s="122">
        <v>30</v>
      </c>
      <c r="R27" s="123" t="s">
        <v>102</v>
      </c>
      <c r="T27" s="83">
        <f t="shared" si="0"/>
        <v>32</v>
      </c>
      <c r="U27" s="83">
        <f t="shared" si="28"/>
        <v>16</v>
      </c>
      <c r="V27" s="83">
        <f t="shared" si="29"/>
        <v>48</v>
      </c>
      <c r="W27" s="83">
        <f t="shared" si="30"/>
        <v>17</v>
      </c>
      <c r="X27" s="114">
        <f t="shared" si="31"/>
        <v>0.35678619474629281</v>
      </c>
      <c r="Y27" s="114">
        <f t="shared" si="1"/>
        <v>1.5696960379139645E-3</v>
      </c>
      <c r="Z27" s="114">
        <f t="shared" si="2"/>
        <v>7.8501657718369768E-4</v>
      </c>
      <c r="AA27" s="114">
        <f t="shared" si="3"/>
        <v>2.1293219946808975E-3</v>
      </c>
      <c r="AB27" s="114">
        <f t="shared" si="4"/>
        <v>6.2654569332836807E-2</v>
      </c>
      <c r="AC27" s="114">
        <f t="shared" si="32"/>
        <v>6.7138603942615366E-2</v>
      </c>
      <c r="AD27" s="114">
        <f t="shared" si="33"/>
        <v>0.93286139605738461</v>
      </c>
      <c r="AE27" s="114">
        <f t="shared" si="44"/>
        <v>9.9880984433655992E-2</v>
      </c>
      <c r="AF27" s="83">
        <f t="shared" si="5"/>
        <v>142.64173029857616</v>
      </c>
      <c r="AG27" s="83">
        <f t="shared" si="6"/>
        <v>0</v>
      </c>
      <c r="AH27" s="83">
        <f t="shared" si="7"/>
        <v>71.336182405963257</v>
      </c>
      <c r="AI27" s="83">
        <f t="shared" si="8"/>
        <v>0</v>
      </c>
      <c r="AJ27" s="83">
        <f t="shared" si="9"/>
        <v>193.49617145478604</v>
      </c>
      <c r="AK27" s="83">
        <f t="shared" si="10"/>
        <v>0</v>
      </c>
      <c r="AL27" s="83">
        <f>IF(U27="","",VLOOKUP($U$5+U27,'Valores Garantizados'!O26:P45,2,0)*X27*AE27*AB27)</f>
        <v>16.667949122741085</v>
      </c>
      <c r="AO27" s="83">
        <f t="shared" si="34"/>
        <v>16</v>
      </c>
      <c r="AP27" s="83">
        <f t="shared" si="35"/>
        <v>0.37908533191793609</v>
      </c>
      <c r="AQ27" s="83">
        <f t="shared" si="36"/>
        <v>18.931708068161342</v>
      </c>
      <c r="AR27" s="83">
        <f t="shared" si="11"/>
        <v>1.1359024840896805</v>
      </c>
      <c r="AS27" s="107"/>
      <c r="AT27" s="107"/>
      <c r="AU27" s="107"/>
      <c r="AY27" s="105">
        <f t="shared" si="42"/>
        <v>32</v>
      </c>
      <c r="AZ27" s="105">
        <f t="shared" si="43"/>
        <v>16</v>
      </c>
      <c r="BA27" s="105">
        <f t="shared" si="12"/>
        <v>48</v>
      </c>
      <c r="BB27" s="105">
        <f t="shared" si="13"/>
        <v>1.6230000000000001E-3</v>
      </c>
      <c r="BC27" s="105">
        <f t="shared" si="14"/>
        <v>8.12E-4</v>
      </c>
      <c r="BD27" s="105">
        <f t="shared" si="15"/>
        <v>2.2009999999999998E-3</v>
      </c>
      <c r="BE27" s="106">
        <f t="shared" si="16"/>
        <v>6.2799999999999995E-2</v>
      </c>
      <c r="BF27" s="105">
        <f t="shared" si="17"/>
        <v>0.93286139605738461</v>
      </c>
      <c r="BH27" s="105">
        <f t="shared" si="18"/>
        <v>32</v>
      </c>
      <c r="BI27" s="105">
        <f t="shared" si="19"/>
        <v>16</v>
      </c>
      <c r="BJ27" s="105">
        <f t="shared" si="20"/>
        <v>48</v>
      </c>
      <c r="BK27" s="106">
        <f t="shared" si="21"/>
        <v>1.5696960379139645E-3</v>
      </c>
      <c r="BL27" s="106">
        <f t="shared" si="22"/>
        <v>7.8501657718369768E-4</v>
      </c>
      <c r="BM27" s="106">
        <f t="shared" si="23"/>
        <v>2.1293219946808975E-3</v>
      </c>
      <c r="BN27" s="106">
        <f t="shared" si="24"/>
        <v>6.2654569332836807E-2</v>
      </c>
      <c r="BO27" s="106">
        <f t="shared" si="25"/>
        <v>6.7138603942615366E-2</v>
      </c>
      <c r="BP27" s="106">
        <f t="shared" si="26"/>
        <v>0.93286139605738461</v>
      </c>
      <c r="BQ27" s="106">
        <f t="shared" si="27"/>
        <v>0</v>
      </c>
    </row>
    <row r="28" spans="2:69" x14ac:dyDescent="0.25">
      <c r="B28" s="98">
        <v>22</v>
      </c>
      <c r="C28" s="99">
        <v>5.4000000000000001E-4</v>
      </c>
      <c r="E28" s="88">
        <v>22</v>
      </c>
      <c r="F28" s="100">
        <v>2.1999999999999999E-5</v>
      </c>
      <c r="H28" s="88">
        <v>23</v>
      </c>
      <c r="I28" s="101">
        <v>1.114E-3</v>
      </c>
      <c r="K28" s="105">
        <v>2</v>
      </c>
      <c r="L28" s="120">
        <v>5.5599999999999997E-2</v>
      </c>
      <c r="N28" s="105">
        <v>6</v>
      </c>
      <c r="O28" s="123" t="s">
        <v>102</v>
      </c>
      <c r="P28" s="122">
        <v>500</v>
      </c>
      <c r="Q28" s="122">
        <v>30</v>
      </c>
      <c r="R28" s="123" t="s">
        <v>102</v>
      </c>
      <c r="T28" s="83">
        <f t="shared" si="0"/>
        <v>32</v>
      </c>
      <c r="U28" s="83">
        <f t="shared" si="28"/>
        <v>17</v>
      </c>
      <c r="V28" s="83">
        <f t="shared" si="29"/>
        <v>49</v>
      </c>
      <c r="W28" s="83">
        <f t="shared" si="30"/>
        <v>18</v>
      </c>
      <c r="X28" s="114">
        <f t="shared" si="31"/>
        <v>0.33579877152592269</v>
      </c>
      <c r="Y28" s="114">
        <f t="shared" si="1"/>
        <v>1.6730394457186834E-3</v>
      </c>
      <c r="Z28" s="114">
        <f t="shared" si="2"/>
        <v>8.6614159644108333E-4</v>
      </c>
      <c r="AA28" s="114">
        <f t="shared" si="3"/>
        <v>2.2142468984717497E-3</v>
      </c>
      <c r="AB28" s="114">
        <f t="shared" si="4"/>
        <v>6.2645827221102041E-2</v>
      </c>
      <c r="AC28" s="114">
        <f t="shared" si="32"/>
        <v>6.7399255161733562E-2</v>
      </c>
      <c r="AD28" s="114">
        <f t="shared" si="33"/>
        <v>0.93260074483826649</v>
      </c>
      <c r="AE28" s="114">
        <f t="shared" si="44"/>
        <v>9.3175114578366233E-2</v>
      </c>
      <c r="AF28" s="83">
        <f t="shared" si="5"/>
        <v>141.33475916614452</v>
      </c>
      <c r="AG28" s="83">
        <f t="shared" si="6"/>
        <v>0</v>
      </c>
      <c r="AH28" s="83">
        <f t="shared" si="7"/>
        <v>73.169771489873369</v>
      </c>
      <c r="AI28" s="83">
        <f t="shared" si="8"/>
        <v>0</v>
      </c>
      <c r="AJ28" s="83">
        <f t="shared" si="9"/>
        <v>187.05479594681884</v>
      </c>
      <c r="AK28" s="83">
        <f t="shared" si="10"/>
        <v>0</v>
      </c>
      <c r="AL28" s="83">
        <f>IF(U28="","",VLOOKUP($U$5+U28,'Valores Garantizados'!O27:P46,2,0)*X28*AE28*AB28)</f>
        <v>8.2165436469479598</v>
      </c>
      <c r="AO28" s="83">
        <f t="shared" si="34"/>
        <v>17</v>
      </c>
      <c r="AP28" s="83">
        <f t="shared" si="35"/>
        <v>0.35678619474629286</v>
      </c>
      <c r="AQ28" s="83">
        <f t="shared" si="36"/>
        <v>16.621797287732566</v>
      </c>
      <c r="AR28" s="83">
        <f t="shared" si="11"/>
        <v>0.99730783726395389</v>
      </c>
      <c r="AS28" s="107"/>
      <c r="AT28" s="107"/>
      <c r="AU28" s="107"/>
      <c r="AY28" s="105">
        <f t="shared" si="42"/>
        <v>32</v>
      </c>
      <c r="AZ28" s="105">
        <f t="shared" si="43"/>
        <v>17</v>
      </c>
      <c r="BA28" s="105">
        <f t="shared" si="12"/>
        <v>49</v>
      </c>
      <c r="BB28" s="105">
        <f t="shared" si="13"/>
        <v>1.73E-3</v>
      </c>
      <c r="BC28" s="105">
        <f t="shared" si="14"/>
        <v>8.9599999999999999E-4</v>
      </c>
      <c r="BD28" s="105">
        <f t="shared" si="15"/>
        <v>2.2889999999999998E-3</v>
      </c>
      <c r="BE28" s="106">
        <f t="shared" si="16"/>
        <v>6.2799999999999995E-2</v>
      </c>
      <c r="BF28" s="105">
        <f t="shared" si="17"/>
        <v>0.93260074483826649</v>
      </c>
      <c r="BH28" s="105">
        <f t="shared" si="18"/>
        <v>32</v>
      </c>
      <c r="BI28" s="105">
        <f t="shared" si="19"/>
        <v>17</v>
      </c>
      <c r="BJ28" s="105">
        <f t="shared" si="20"/>
        <v>49</v>
      </c>
      <c r="BK28" s="106">
        <f t="shared" si="21"/>
        <v>1.6730394457186834E-3</v>
      </c>
      <c r="BL28" s="106">
        <f t="shared" si="22"/>
        <v>8.6614159644108333E-4</v>
      </c>
      <c r="BM28" s="106">
        <f t="shared" si="23"/>
        <v>2.2142468984717497E-3</v>
      </c>
      <c r="BN28" s="106">
        <f t="shared" si="24"/>
        <v>6.2645827221102041E-2</v>
      </c>
      <c r="BO28" s="106">
        <f t="shared" si="25"/>
        <v>6.7399255161733562E-2</v>
      </c>
      <c r="BP28" s="106">
        <f t="shared" si="26"/>
        <v>0.93260074483826649</v>
      </c>
      <c r="BQ28" s="106">
        <f t="shared" si="27"/>
        <v>0</v>
      </c>
    </row>
    <row r="29" spans="2:69" x14ac:dyDescent="0.25">
      <c r="B29" s="98">
        <v>23</v>
      </c>
      <c r="C29" s="99">
        <v>5.53E-4</v>
      </c>
      <c r="E29" s="88">
        <v>23</v>
      </c>
      <c r="F29" s="102">
        <v>2.6999999999999999E-5</v>
      </c>
      <c r="H29" s="88">
        <v>24</v>
      </c>
      <c r="I29" s="93">
        <v>1.132E-3</v>
      </c>
      <c r="K29" s="105">
        <v>3</v>
      </c>
      <c r="L29" s="120">
        <v>5.4800000000000001E-2</v>
      </c>
      <c r="N29" s="105">
        <v>7</v>
      </c>
      <c r="O29" s="123" t="s">
        <v>102</v>
      </c>
      <c r="P29" s="122">
        <v>500</v>
      </c>
      <c r="Q29" s="122">
        <v>30</v>
      </c>
      <c r="R29" s="123" t="s">
        <v>102</v>
      </c>
    </row>
    <row r="30" spans="2:69" x14ac:dyDescent="0.25">
      <c r="B30" s="98">
        <v>24</v>
      </c>
      <c r="C30" s="99">
        <v>5.6700000000000001E-4</v>
      </c>
      <c r="E30" s="88">
        <v>24</v>
      </c>
      <c r="F30" s="100">
        <v>3.3000000000000003E-5</v>
      </c>
      <c r="H30" s="88">
        <v>25</v>
      </c>
      <c r="I30" s="101">
        <v>1.152E-3</v>
      </c>
      <c r="K30" s="105">
        <v>4</v>
      </c>
      <c r="L30" s="120">
        <v>5.62E-2</v>
      </c>
      <c r="N30" s="105">
        <v>8</v>
      </c>
      <c r="O30" s="123" t="s">
        <v>102</v>
      </c>
      <c r="P30" s="122">
        <v>500</v>
      </c>
      <c r="Q30" s="122">
        <v>30</v>
      </c>
      <c r="R30" s="123" t="s">
        <v>102</v>
      </c>
    </row>
    <row r="31" spans="2:69" ht="18" x14ac:dyDescent="0.35">
      <c r="B31" s="98">
        <v>25</v>
      </c>
      <c r="C31" s="99">
        <v>5.8200000000000005E-4</v>
      </c>
      <c r="E31" s="88">
        <v>25</v>
      </c>
      <c r="F31" s="102">
        <v>4.0000000000000003E-5</v>
      </c>
      <c r="H31" s="88">
        <v>26</v>
      </c>
      <c r="I31" s="93">
        <v>1.1739999999999999E-3</v>
      </c>
      <c r="K31" s="105">
        <v>5</v>
      </c>
      <c r="L31" s="120">
        <v>5.5899999999999998E-2</v>
      </c>
      <c r="N31" s="105">
        <v>9</v>
      </c>
      <c r="O31" s="123" t="s">
        <v>102</v>
      </c>
      <c r="P31" s="122">
        <v>500</v>
      </c>
      <c r="Q31" s="122">
        <v>30</v>
      </c>
      <c r="R31" s="123" t="s">
        <v>102</v>
      </c>
      <c r="T31" s="121" t="s">
        <v>20</v>
      </c>
      <c r="U31" s="121" t="s">
        <v>183</v>
      </c>
      <c r="AE31" s="124"/>
      <c r="AF31" s="125" t="s">
        <v>55</v>
      </c>
      <c r="AG31" s="126" t="s">
        <v>89</v>
      </c>
      <c r="AH31" s="119">
        <f>P14+$U$5*$P$14</f>
        <v>150000</v>
      </c>
      <c r="AI31" s="109"/>
      <c r="AJ31" s="109"/>
      <c r="AK31" s="109"/>
      <c r="AL31" s="109"/>
    </row>
    <row r="32" spans="2:69" x14ac:dyDescent="0.25">
      <c r="B32" s="98">
        <v>26</v>
      </c>
      <c r="C32" s="99">
        <v>5.9800000000000001E-4</v>
      </c>
      <c r="E32" s="88">
        <v>26</v>
      </c>
      <c r="F32" s="100">
        <v>4.6999999999999997E-5</v>
      </c>
      <c r="H32" s="88">
        <v>27</v>
      </c>
      <c r="I32" s="101">
        <v>1.1969999999999999E-3</v>
      </c>
      <c r="K32" s="105">
        <v>6</v>
      </c>
      <c r="L32" s="120">
        <v>5.5100000000000003E-2</v>
      </c>
      <c r="N32" s="105">
        <v>10</v>
      </c>
      <c r="O32" s="123" t="s">
        <v>102</v>
      </c>
      <c r="P32" s="122">
        <v>500</v>
      </c>
      <c r="Q32" s="122">
        <v>30</v>
      </c>
      <c r="R32" s="123" t="s">
        <v>102</v>
      </c>
      <c r="T32" s="105">
        <v>0</v>
      </c>
      <c r="U32" s="92">
        <v>660495592.70353806</v>
      </c>
      <c r="AE32" s="124"/>
      <c r="AF32" s="127" t="s">
        <v>88</v>
      </c>
      <c r="AG32" s="126" t="s">
        <v>54</v>
      </c>
      <c r="AH32" s="119">
        <f>$U$5*$P$14</f>
        <v>0</v>
      </c>
      <c r="AI32" s="109"/>
      <c r="AJ32" s="109"/>
      <c r="AK32" s="109"/>
      <c r="AL32" s="109"/>
    </row>
    <row r="33" spans="2:21" x14ac:dyDescent="0.25">
      <c r="B33" s="98">
        <v>27</v>
      </c>
      <c r="C33" s="99">
        <v>6.1600000000000001E-4</v>
      </c>
      <c r="E33" s="88">
        <v>27</v>
      </c>
      <c r="F33" s="102">
        <v>5.5999999999999999E-5</v>
      </c>
      <c r="H33" s="88">
        <v>28</v>
      </c>
      <c r="I33" s="93">
        <v>1.2210000000000001E-3</v>
      </c>
      <c r="K33" s="105">
        <v>7</v>
      </c>
      <c r="L33" s="120">
        <v>5.6500000000000002E-2</v>
      </c>
      <c r="N33" s="105">
        <v>11</v>
      </c>
      <c r="O33" s="123" t="s">
        <v>102</v>
      </c>
      <c r="P33" s="122">
        <v>500</v>
      </c>
      <c r="Q33" s="122">
        <v>30</v>
      </c>
      <c r="R33" s="123" t="s">
        <v>102</v>
      </c>
      <c r="T33" s="105">
        <v>1</v>
      </c>
      <c r="U33" s="146">
        <v>639173488.9118048</v>
      </c>
    </row>
    <row r="34" spans="2:21" x14ac:dyDescent="0.25">
      <c r="B34" s="98">
        <v>28</v>
      </c>
      <c r="C34" s="99">
        <v>6.3500000000000004E-4</v>
      </c>
      <c r="E34" s="88">
        <v>28</v>
      </c>
      <c r="F34" s="100">
        <v>6.6000000000000005E-5</v>
      </c>
      <c r="H34" s="88">
        <v>29</v>
      </c>
      <c r="I34" s="101">
        <v>1.2470000000000001E-3</v>
      </c>
      <c r="K34" s="105">
        <v>8</v>
      </c>
      <c r="L34" s="120">
        <v>5.6899999999999999E-2</v>
      </c>
      <c r="N34" s="105">
        <v>12</v>
      </c>
      <c r="O34" s="123" t="s">
        <v>102</v>
      </c>
      <c r="P34" s="122">
        <v>500</v>
      </c>
      <c r="Q34" s="122">
        <v>30</v>
      </c>
      <c r="R34" s="123" t="s">
        <v>102</v>
      </c>
      <c r="T34" s="105">
        <v>2</v>
      </c>
      <c r="U34" s="153">
        <v>616052389.50338745</v>
      </c>
    </row>
    <row r="35" spans="2:21" x14ac:dyDescent="0.25">
      <c r="B35" s="98">
        <v>29</v>
      </c>
      <c r="C35" s="99">
        <v>6.5600000000000001E-4</v>
      </c>
      <c r="E35" s="88">
        <v>29</v>
      </c>
      <c r="F35" s="102">
        <v>7.7999999999999999E-5</v>
      </c>
      <c r="H35" s="88">
        <v>30</v>
      </c>
      <c r="I35" s="93">
        <v>1.274E-3</v>
      </c>
      <c r="K35" s="105">
        <v>9</v>
      </c>
      <c r="L35" s="120">
        <v>5.8200000000000002E-2</v>
      </c>
      <c r="N35" s="105">
        <v>13</v>
      </c>
      <c r="O35" s="123" t="s">
        <v>102</v>
      </c>
      <c r="P35" s="122">
        <v>500</v>
      </c>
      <c r="Q35" s="122">
        <v>30</v>
      </c>
      <c r="R35" s="123" t="s">
        <v>102</v>
      </c>
      <c r="T35" s="105">
        <v>3</v>
      </c>
      <c r="U35" s="146">
        <v>591509699.96879077</v>
      </c>
    </row>
    <row r="36" spans="2:21" x14ac:dyDescent="0.25">
      <c r="B36" s="98">
        <v>30</v>
      </c>
      <c r="C36" s="99">
        <v>6.78E-4</v>
      </c>
      <c r="E36" s="88">
        <v>30</v>
      </c>
      <c r="F36" s="100">
        <v>9.1000000000000003E-5</v>
      </c>
      <c r="H36" s="88">
        <v>31</v>
      </c>
      <c r="I36" s="101">
        <v>1.304E-3</v>
      </c>
      <c r="K36" s="105">
        <v>10</v>
      </c>
      <c r="L36" s="120">
        <v>5.8700000000000002E-2</v>
      </c>
      <c r="N36" s="105">
        <v>14</v>
      </c>
      <c r="O36" s="123" t="s">
        <v>102</v>
      </c>
      <c r="P36" s="122">
        <v>500</v>
      </c>
      <c r="Q36" s="122">
        <v>30</v>
      </c>
      <c r="R36" s="123" t="s">
        <v>102</v>
      </c>
      <c r="T36" s="105">
        <v>4</v>
      </c>
      <c r="U36" s="146">
        <v>565488379.20077372</v>
      </c>
    </row>
    <row r="37" spans="2:21" x14ac:dyDescent="0.25">
      <c r="B37" s="98">
        <v>31</v>
      </c>
      <c r="C37" s="99">
        <v>7.0299999999999996E-4</v>
      </c>
      <c r="E37" s="88">
        <v>31</v>
      </c>
      <c r="F37" s="102">
        <v>1.06E-4</v>
      </c>
      <c r="H37" s="88">
        <v>32</v>
      </c>
      <c r="I37" s="93">
        <v>1.335E-3</v>
      </c>
      <c r="K37" s="105">
        <v>11</v>
      </c>
      <c r="L37" s="120">
        <v>5.8599999999999999E-2</v>
      </c>
      <c r="N37" s="105">
        <v>15</v>
      </c>
      <c r="O37" s="123" t="s">
        <v>102</v>
      </c>
      <c r="P37" s="122">
        <v>500</v>
      </c>
      <c r="Q37" s="122">
        <v>30</v>
      </c>
      <c r="R37" s="123" t="s">
        <v>102</v>
      </c>
      <c r="T37" s="105">
        <v>5</v>
      </c>
      <c r="U37" s="153">
        <v>537151082.30191624</v>
      </c>
    </row>
    <row r="38" spans="2:21" x14ac:dyDescent="0.25">
      <c r="B38" s="98">
        <v>32</v>
      </c>
      <c r="C38" s="99">
        <v>7.2900000000000005E-4</v>
      </c>
      <c r="E38" s="88">
        <v>32</v>
      </c>
      <c r="F38" s="100">
        <v>1.22E-4</v>
      </c>
      <c r="H38" s="88">
        <v>33</v>
      </c>
      <c r="I38" s="101">
        <v>1.3680000000000001E-3</v>
      </c>
      <c r="K38" s="105">
        <v>12</v>
      </c>
      <c r="L38" s="120">
        <v>5.7700000000000001E-2</v>
      </c>
      <c r="N38" s="105">
        <v>16</v>
      </c>
      <c r="O38" s="123" t="s">
        <v>102</v>
      </c>
      <c r="P38" s="122">
        <v>500</v>
      </c>
      <c r="Q38" s="122">
        <v>30</v>
      </c>
      <c r="R38" s="123" t="s">
        <v>102</v>
      </c>
      <c r="T38" s="105">
        <v>6</v>
      </c>
      <c r="U38" s="146">
        <v>507274043.81730479</v>
      </c>
    </row>
    <row r="39" spans="2:21" x14ac:dyDescent="0.25">
      <c r="B39" s="98">
        <v>33</v>
      </c>
      <c r="C39" s="99">
        <v>7.5699999999999997E-4</v>
      </c>
      <c r="E39" s="88">
        <v>33</v>
      </c>
      <c r="F39" s="102">
        <v>1.4100000000000001E-4</v>
      </c>
      <c r="H39" s="88">
        <v>34</v>
      </c>
      <c r="I39" s="93">
        <v>1.403E-3</v>
      </c>
      <c r="K39" s="105">
        <v>13</v>
      </c>
      <c r="L39" s="120">
        <v>5.8799999999999998E-2</v>
      </c>
      <c r="N39" s="105">
        <v>17</v>
      </c>
      <c r="O39" s="123" t="s">
        <v>102</v>
      </c>
      <c r="P39" s="122">
        <v>500</v>
      </c>
      <c r="Q39" s="122">
        <v>30</v>
      </c>
      <c r="R39" s="123" t="s">
        <v>102</v>
      </c>
      <c r="T39" s="105">
        <v>7</v>
      </c>
      <c r="U39" s="146">
        <v>475540583.50731105</v>
      </c>
    </row>
    <row r="40" spans="2:21" x14ac:dyDescent="0.25">
      <c r="B40" s="98">
        <v>34</v>
      </c>
      <c r="C40" s="99">
        <v>7.8799999999999996E-4</v>
      </c>
      <c r="E40" s="88">
        <v>34</v>
      </c>
      <c r="F40" s="100">
        <v>1.6200000000000001E-4</v>
      </c>
      <c r="H40" s="88">
        <v>35</v>
      </c>
      <c r="I40" s="101">
        <v>1.4400000000000001E-3</v>
      </c>
      <c r="K40" s="105">
        <v>14</v>
      </c>
      <c r="L40" s="120">
        <v>5.8999999999999997E-2</v>
      </c>
      <c r="T40" s="105">
        <v>8</v>
      </c>
      <c r="U40" s="153">
        <v>442427683.87763125</v>
      </c>
    </row>
    <row r="41" spans="2:21" x14ac:dyDescent="0.25">
      <c r="B41" s="98">
        <v>35</v>
      </c>
      <c r="C41" s="99">
        <v>8.2100000000000001E-4</v>
      </c>
      <c r="E41" s="88">
        <v>35</v>
      </c>
      <c r="F41" s="102">
        <v>1.85E-4</v>
      </c>
      <c r="H41" s="88">
        <v>36</v>
      </c>
      <c r="I41" s="93">
        <v>1.48E-3</v>
      </c>
      <c r="K41" s="105">
        <v>15</v>
      </c>
      <c r="L41" s="120">
        <v>6.2100000000000002E-2</v>
      </c>
      <c r="T41" s="105">
        <v>9</v>
      </c>
      <c r="U41" s="146">
        <v>407652673.43997705</v>
      </c>
    </row>
    <row r="42" spans="2:21" x14ac:dyDescent="0.25">
      <c r="B42" s="98">
        <v>36</v>
      </c>
      <c r="C42" s="99">
        <v>8.5700000000000001E-4</v>
      </c>
      <c r="E42" s="88">
        <v>36</v>
      </c>
      <c r="F42" s="100">
        <v>2.1100000000000001E-4</v>
      </c>
      <c r="H42" s="88">
        <v>37</v>
      </c>
      <c r="I42" s="93">
        <v>1.5219999999999999E-3</v>
      </c>
      <c r="K42" s="105">
        <v>16</v>
      </c>
      <c r="L42" s="120">
        <v>6.2399999999999997E-2</v>
      </c>
      <c r="Q42" s="151"/>
      <c r="R42" s="151"/>
      <c r="T42" s="105">
        <v>10</v>
      </c>
      <c r="U42" s="146">
        <v>370957698.42799789</v>
      </c>
    </row>
    <row r="43" spans="2:21" x14ac:dyDescent="0.25">
      <c r="B43" s="98">
        <v>37</v>
      </c>
      <c r="C43" s="99">
        <v>8.9599999999999999E-4</v>
      </c>
      <c r="E43" s="88">
        <v>37</v>
      </c>
      <c r="F43" s="100">
        <v>2.4000000000000001E-4</v>
      </c>
      <c r="H43" s="88">
        <v>38</v>
      </c>
      <c r="I43" s="101">
        <v>1.567E-3</v>
      </c>
      <c r="K43" s="105">
        <v>17</v>
      </c>
      <c r="L43" s="120">
        <v>6.25E-2</v>
      </c>
      <c r="Q43" s="109"/>
      <c r="R43" s="152"/>
      <c r="T43" s="105">
        <v>11</v>
      </c>
      <c r="U43" s="153">
        <v>332075573.46513438</v>
      </c>
    </row>
    <row r="44" spans="2:21" x14ac:dyDescent="0.25">
      <c r="B44" s="98">
        <v>38</v>
      </c>
      <c r="C44" s="99">
        <v>9.3800000000000003E-4</v>
      </c>
      <c r="E44" s="88">
        <v>38</v>
      </c>
      <c r="F44" s="102">
        <v>2.72E-4</v>
      </c>
      <c r="H44" s="88">
        <v>39</v>
      </c>
      <c r="I44" s="93">
        <v>1.614E-3</v>
      </c>
      <c r="K44" s="105">
        <v>18</v>
      </c>
      <c r="L44" s="120">
        <v>6.25E-2</v>
      </c>
      <c r="Q44" s="109"/>
      <c r="R44" s="152"/>
      <c r="T44" s="105">
        <v>12</v>
      </c>
      <c r="U44" s="146">
        <v>291167895.11750346</v>
      </c>
    </row>
    <row r="45" spans="2:21" x14ac:dyDescent="0.25">
      <c r="B45" s="98">
        <v>39</v>
      </c>
      <c r="C45" s="99">
        <v>9.8299999999999993E-4</v>
      </c>
      <c r="E45" s="88">
        <v>39</v>
      </c>
      <c r="F45" s="100">
        <v>3.0600000000000001E-4</v>
      </c>
      <c r="H45" s="88">
        <v>40</v>
      </c>
      <c r="I45" s="101">
        <v>1.6639999999999999E-3</v>
      </c>
      <c r="K45" s="128" t="s">
        <v>68</v>
      </c>
      <c r="L45" s="120">
        <v>6.25E-2</v>
      </c>
      <c r="Q45" s="109"/>
      <c r="R45" s="152"/>
      <c r="T45" s="105">
        <v>13</v>
      </c>
      <c r="U45" s="146">
        <v>248001951.86596474</v>
      </c>
    </row>
    <row r="46" spans="2:21" x14ac:dyDescent="0.25">
      <c r="B46" s="98">
        <v>40</v>
      </c>
      <c r="C46" s="99">
        <v>1.0330000000000001E-3</v>
      </c>
      <c r="E46" s="88">
        <v>40</v>
      </c>
      <c r="F46" s="102">
        <v>3.4499999999999998E-4</v>
      </c>
      <c r="H46" s="88">
        <v>41</v>
      </c>
      <c r="I46" s="93">
        <v>1.7179999999999999E-3</v>
      </c>
      <c r="P46" s="148"/>
      <c r="Q46" s="109"/>
      <c r="R46" s="152"/>
      <c r="T46" s="105">
        <v>14</v>
      </c>
      <c r="U46" s="153">
        <v>202914811.83119389</v>
      </c>
    </row>
    <row r="47" spans="2:21" x14ac:dyDescent="0.25">
      <c r="B47" s="98">
        <v>41</v>
      </c>
      <c r="C47" s="99">
        <v>1.0870000000000001E-3</v>
      </c>
      <c r="E47" s="88">
        <v>41</v>
      </c>
      <c r="F47" s="100">
        <v>3.8699999999999997E-4</v>
      </c>
      <c r="H47" s="88">
        <v>42</v>
      </c>
      <c r="I47" s="101">
        <v>1.7750000000000001E-3</v>
      </c>
      <c r="P47" s="149"/>
      <c r="Q47" s="109"/>
      <c r="R47" s="152"/>
      <c r="T47" s="105">
        <v>15</v>
      </c>
      <c r="U47" s="146">
        <v>155697780.89645192</v>
      </c>
    </row>
    <row r="48" spans="2:21" x14ac:dyDescent="0.25">
      <c r="B48" s="98">
        <v>42</v>
      </c>
      <c r="C48" s="99">
        <v>1.145E-3</v>
      </c>
      <c r="E48" s="88">
        <v>42</v>
      </c>
      <c r="F48" s="102">
        <v>4.3300000000000001E-4</v>
      </c>
      <c r="H48" s="88">
        <v>43</v>
      </c>
      <c r="I48" s="93">
        <v>1.835E-3</v>
      </c>
      <c r="P48" s="150"/>
      <c r="Q48" s="109"/>
      <c r="R48" s="152"/>
      <c r="T48" s="105">
        <v>16</v>
      </c>
      <c r="U48" s="146">
        <v>106097342.17954934</v>
      </c>
    </row>
    <row r="49" spans="2:21" x14ac:dyDescent="0.25">
      <c r="B49" s="98">
        <v>43</v>
      </c>
      <c r="C49" s="99">
        <v>1.2080000000000001E-3</v>
      </c>
      <c r="E49" s="88">
        <v>43</v>
      </c>
      <c r="F49" s="100">
        <v>4.84E-4</v>
      </c>
      <c r="H49" s="88">
        <v>44</v>
      </c>
      <c r="I49" s="101">
        <v>1.9E-3</v>
      </c>
      <c r="P49" s="149"/>
      <c r="Q49" s="109"/>
      <c r="R49" s="152"/>
      <c r="T49" s="105">
        <v>17</v>
      </c>
      <c r="U49" s="153">
        <v>54245907.396792047</v>
      </c>
    </row>
    <row r="50" spans="2:21" x14ac:dyDescent="0.25">
      <c r="B50" s="98">
        <v>44</v>
      </c>
      <c r="C50" s="99">
        <v>1.2780000000000001E-3</v>
      </c>
      <c r="E50" s="88">
        <v>44</v>
      </c>
      <c r="F50" s="102">
        <v>5.3899999999999998E-4</v>
      </c>
      <c r="H50" s="88">
        <v>45</v>
      </c>
      <c r="I50" s="93">
        <v>1.9680000000000001E-3</v>
      </c>
      <c r="P50" s="150"/>
      <c r="Q50" s="109"/>
      <c r="R50" s="152"/>
      <c r="T50" s="105">
        <v>18</v>
      </c>
      <c r="U50" s="92">
        <v>0</v>
      </c>
    </row>
    <row r="51" spans="2:21" x14ac:dyDescent="0.25">
      <c r="B51" s="98">
        <v>45</v>
      </c>
      <c r="C51" s="99">
        <v>1.353E-3</v>
      </c>
      <c r="E51" s="88">
        <v>45</v>
      </c>
      <c r="F51" s="100">
        <v>5.9900000000000003E-4</v>
      </c>
      <c r="H51" s="88">
        <v>46</v>
      </c>
      <c r="I51" s="101">
        <v>2.0409999999999998E-3</v>
      </c>
      <c r="P51" s="150"/>
      <c r="Q51" s="109"/>
      <c r="R51" s="152"/>
    </row>
    <row r="52" spans="2:21" x14ac:dyDescent="0.25">
      <c r="B52" s="98">
        <v>46</v>
      </c>
      <c r="C52" s="99">
        <v>1.4350000000000001E-3</v>
      </c>
      <c r="E52" s="88">
        <v>46</v>
      </c>
      <c r="F52" s="102">
        <v>6.6500000000000001E-4</v>
      </c>
      <c r="H52" s="88">
        <v>47</v>
      </c>
      <c r="I52" s="93">
        <v>2.1180000000000001E-3</v>
      </c>
      <c r="P52" s="149"/>
      <c r="Q52" s="109"/>
      <c r="R52" s="109"/>
    </row>
    <row r="53" spans="2:21" x14ac:dyDescent="0.25">
      <c r="B53" s="98">
        <v>47</v>
      </c>
      <c r="C53" s="99">
        <v>1.5250000000000001E-3</v>
      </c>
      <c r="E53" s="88">
        <v>47</v>
      </c>
      <c r="F53" s="100">
        <v>7.36E-4</v>
      </c>
      <c r="H53" s="88">
        <v>48</v>
      </c>
      <c r="I53" s="101">
        <v>2.2009999999999998E-3</v>
      </c>
      <c r="P53" s="150"/>
      <c r="Q53" s="109"/>
      <c r="R53" s="109"/>
    </row>
    <row r="54" spans="2:21" x14ac:dyDescent="0.25">
      <c r="B54" s="98">
        <v>48</v>
      </c>
      <c r="C54" s="99">
        <v>1.6230000000000001E-3</v>
      </c>
      <c r="E54" s="88">
        <v>48</v>
      </c>
      <c r="F54" s="102">
        <v>8.12E-4</v>
      </c>
      <c r="H54" s="88">
        <v>49</v>
      </c>
      <c r="I54" s="93">
        <v>2.2889999999999998E-3</v>
      </c>
      <c r="P54" s="150"/>
      <c r="Q54" s="109"/>
      <c r="R54" s="109"/>
    </row>
    <row r="55" spans="2:21" x14ac:dyDescent="0.25">
      <c r="B55" s="98">
        <v>49</v>
      </c>
      <c r="C55" s="99">
        <v>1.73E-3</v>
      </c>
      <c r="E55" s="88">
        <v>49</v>
      </c>
      <c r="F55" s="100">
        <v>8.9599999999999999E-4</v>
      </c>
      <c r="H55" s="88">
        <v>50</v>
      </c>
      <c r="I55" s="101">
        <v>2.382E-3</v>
      </c>
      <c r="P55" s="149"/>
      <c r="Q55" s="109"/>
      <c r="R55" s="109"/>
    </row>
    <row r="56" spans="2:21" x14ac:dyDescent="0.25">
      <c r="B56" s="98">
        <v>50</v>
      </c>
      <c r="C56" s="99">
        <v>1.848E-3</v>
      </c>
      <c r="E56" s="88">
        <v>50</v>
      </c>
      <c r="F56" s="102">
        <v>9.8499999999999998E-4</v>
      </c>
      <c r="H56" s="88">
        <v>51</v>
      </c>
      <c r="I56" s="93">
        <v>2.4819999999999998E-3</v>
      </c>
      <c r="P56" s="150"/>
      <c r="Q56" s="109"/>
      <c r="R56" s="109"/>
    </row>
    <row r="57" spans="2:21" x14ac:dyDescent="0.25">
      <c r="B57" s="98">
        <v>51</v>
      </c>
      <c r="C57" s="99">
        <v>1.977E-3</v>
      </c>
      <c r="E57" s="88">
        <v>51</v>
      </c>
      <c r="F57" s="100">
        <v>1.0820000000000001E-3</v>
      </c>
      <c r="H57" s="88">
        <v>52</v>
      </c>
      <c r="I57" s="101">
        <v>2.588E-3</v>
      </c>
      <c r="P57" s="150"/>
      <c r="Q57" s="109"/>
      <c r="R57" s="109"/>
    </row>
    <row r="58" spans="2:21" x14ac:dyDescent="0.25">
      <c r="B58" s="98">
        <v>52</v>
      </c>
      <c r="C58" s="99">
        <v>2.1189999999999998E-3</v>
      </c>
      <c r="E58" s="88">
        <v>52</v>
      </c>
      <c r="F58" s="102">
        <v>1.1869999999999999E-3</v>
      </c>
      <c r="H58" s="88">
        <v>53</v>
      </c>
      <c r="I58" s="93">
        <v>2.702E-3</v>
      </c>
      <c r="P58" s="149"/>
      <c r="Q58" s="109"/>
      <c r="R58" s="109"/>
    </row>
    <row r="59" spans="2:21" x14ac:dyDescent="0.25">
      <c r="B59" s="98">
        <v>53</v>
      </c>
      <c r="C59" s="99">
        <v>2.274E-3</v>
      </c>
      <c r="E59" s="88">
        <v>53</v>
      </c>
      <c r="F59" s="100">
        <v>1.299E-3</v>
      </c>
      <c r="H59" s="88">
        <v>54</v>
      </c>
      <c r="I59" s="101">
        <v>2.823E-3</v>
      </c>
      <c r="P59" s="150"/>
      <c r="Q59" s="109"/>
      <c r="R59" s="109"/>
    </row>
    <row r="60" spans="2:21" x14ac:dyDescent="0.25">
      <c r="B60" s="98">
        <v>54</v>
      </c>
      <c r="C60" s="99">
        <v>2.4459999999999998E-3</v>
      </c>
      <c r="E60" s="88">
        <v>54</v>
      </c>
      <c r="F60" s="102">
        <v>1.42E-3</v>
      </c>
      <c r="H60" s="88">
        <v>55</v>
      </c>
      <c r="I60" s="93">
        <v>2.9529999999999999E-3</v>
      </c>
      <c r="P60" s="150"/>
      <c r="Q60" s="109"/>
      <c r="R60" s="109"/>
    </row>
    <row r="61" spans="2:21" x14ac:dyDescent="0.25">
      <c r="B61" s="98">
        <v>55</v>
      </c>
      <c r="C61" s="99">
        <v>2.6350000000000002E-3</v>
      </c>
      <c r="E61" s="88">
        <v>55</v>
      </c>
      <c r="F61" s="100">
        <v>1.549E-3</v>
      </c>
      <c r="H61" s="88">
        <v>56</v>
      </c>
      <c r="I61" s="101">
        <v>3.091E-3</v>
      </c>
      <c r="P61" s="149"/>
      <c r="Q61" s="109"/>
      <c r="R61" s="109"/>
    </row>
    <row r="62" spans="2:21" x14ac:dyDescent="0.25">
      <c r="B62" s="98">
        <v>56</v>
      </c>
      <c r="C62" s="99">
        <v>2.8440000000000002E-3</v>
      </c>
      <c r="E62" s="88">
        <v>56</v>
      </c>
      <c r="F62" s="102">
        <v>1.688E-3</v>
      </c>
      <c r="H62" s="88">
        <v>57</v>
      </c>
      <c r="I62" s="93">
        <v>3.2390000000000001E-3</v>
      </c>
      <c r="P62" s="150"/>
      <c r="Q62" s="109"/>
      <c r="R62" s="109"/>
    </row>
    <row r="63" spans="2:21" x14ac:dyDescent="0.25">
      <c r="B63" s="98">
        <v>57</v>
      </c>
      <c r="C63" s="99">
        <v>3.0739999999999999E-3</v>
      </c>
      <c r="E63" s="88">
        <v>57</v>
      </c>
      <c r="F63" s="100">
        <v>1.8370000000000001E-3</v>
      </c>
      <c r="H63" s="88">
        <v>58</v>
      </c>
      <c r="I63" s="101">
        <v>3.398E-3</v>
      </c>
      <c r="P63" s="150"/>
      <c r="Q63" s="109"/>
      <c r="R63" s="109"/>
    </row>
    <row r="64" spans="2:21" x14ac:dyDescent="0.25">
      <c r="B64" s="98">
        <v>58</v>
      </c>
      <c r="C64" s="99">
        <v>3.3289999999999999E-3</v>
      </c>
      <c r="E64" s="88">
        <v>58</v>
      </c>
      <c r="F64" s="102">
        <v>1.9959999999999999E-3</v>
      </c>
      <c r="H64" s="88">
        <v>59</v>
      </c>
      <c r="I64" s="93">
        <v>3.5669999999999999E-3</v>
      </c>
      <c r="P64" s="149"/>
      <c r="Q64" s="109"/>
      <c r="R64" s="109"/>
    </row>
    <row r="65" spans="2:18" x14ac:dyDescent="0.25">
      <c r="B65" s="98">
        <v>59</v>
      </c>
      <c r="C65" s="99">
        <v>3.6120000000000002E-3</v>
      </c>
      <c r="E65" s="88">
        <v>59</v>
      </c>
      <c r="F65" s="100">
        <v>2.166E-3</v>
      </c>
      <c r="H65" s="88">
        <v>60</v>
      </c>
      <c r="I65" s="101">
        <v>3.7490000000000002E-3</v>
      </c>
      <c r="P65" s="149"/>
      <c r="Q65" s="109"/>
      <c r="R65" s="109"/>
    </row>
    <row r="66" spans="2:18" x14ac:dyDescent="0.25">
      <c r="B66" s="98">
        <v>60</v>
      </c>
      <c r="C66" s="99">
        <v>3.9259999999999998E-3</v>
      </c>
      <c r="E66" s="88">
        <v>60</v>
      </c>
      <c r="F66" s="102">
        <v>2.3470000000000001E-3</v>
      </c>
      <c r="H66" s="88">
        <v>61</v>
      </c>
      <c r="I66" s="93">
        <v>3.9439999999999996E-3</v>
      </c>
      <c r="Q66" s="109"/>
      <c r="R66" s="109"/>
    </row>
    <row r="67" spans="2:18" x14ac:dyDescent="0.25">
      <c r="B67" s="98">
        <v>61</v>
      </c>
      <c r="C67" s="99">
        <v>4.2750000000000002E-3</v>
      </c>
      <c r="E67" s="88">
        <v>61</v>
      </c>
      <c r="F67" s="100">
        <v>2.5400000000000002E-3</v>
      </c>
      <c r="H67" s="88">
        <v>62</v>
      </c>
      <c r="I67" s="101">
        <v>4.1529999999999996E-3</v>
      </c>
      <c r="Q67" s="109"/>
      <c r="R67" s="109"/>
    </row>
    <row r="68" spans="2:18" x14ac:dyDescent="0.25">
      <c r="B68" s="98">
        <v>62</v>
      </c>
      <c r="C68" s="99">
        <v>4.6639999999999997E-3</v>
      </c>
      <c r="E68" s="88">
        <v>62</v>
      </c>
      <c r="F68" s="102">
        <v>2.7460000000000002E-3</v>
      </c>
      <c r="H68" s="88">
        <v>63</v>
      </c>
      <c r="I68" s="93">
        <v>4.3769999999999998E-3</v>
      </c>
      <c r="Q68" s="109"/>
      <c r="R68" s="109"/>
    </row>
    <row r="69" spans="2:18" x14ac:dyDescent="0.25">
      <c r="B69" s="98">
        <v>63</v>
      </c>
      <c r="C69" s="99">
        <v>5.0959999999999998E-3</v>
      </c>
      <c r="E69" s="88">
        <v>63</v>
      </c>
      <c r="F69" s="100">
        <v>2.9650000000000002E-3</v>
      </c>
      <c r="H69" s="88">
        <v>64</v>
      </c>
      <c r="I69" s="101">
        <v>4.6179999999999997E-3</v>
      </c>
      <c r="Q69" s="109"/>
      <c r="R69" s="109"/>
    </row>
    <row r="70" spans="2:18" x14ac:dyDescent="0.25">
      <c r="B70" s="98">
        <v>64</v>
      </c>
      <c r="C70" s="99">
        <v>5.5789999999999998E-3</v>
      </c>
      <c r="E70" s="88">
        <v>64</v>
      </c>
      <c r="F70" s="102">
        <v>3.1970000000000002E-3</v>
      </c>
      <c r="H70" s="88">
        <v>65</v>
      </c>
      <c r="I70" s="93">
        <v>4.8770000000000003E-3</v>
      </c>
      <c r="Q70" s="109"/>
      <c r="R70" s="109"/>
    </row>
    <row r="71" spans="2:18" x14ac:dyDescent="0.25">
      <c r="B71" s="98">
        <v>65</v>
      </c>
      <c r="C71" s="99">
        <v>6.1190000000000003E-3</v>
      </c>
      <c r="E71" s="88">
        <v>65</v>
      </c>
      <c r="F71" s="100">
        <v>3.4450000000000001E-3</v>
      </c>
      <c r="H71" s="88">
        <v>66</v>
      </c>
      <c r="I71" s="101">
        <v>5.156E-3</v>
      </c>
      <c r="R71" s="109"/>
    </row>
    <row r="72" spans="2:18" x14ac:dyDescent="0.25">
      <c r="B72" s="98">
        <v>66</v>
      </c>
      <c r="C72" s="99">
        <v>6.7229999999999998E-3</v>
      </c>
      <c r="E72" s="88">
        <v>66</v>
      </c>
      <c r="F72" s="102">
        <v>3.7069999999999998E-3</v>
      </c>
      <c r="H72" s="88">
        <v>67</v>
      </c>
      <c r="I72" s="93">
        <v>5.4559999999999999E-3</v>
      </c>
      <c r="R72" s="109"/>
    </row>
    <row r="73" spans="2:18" x14ac:dyDescent="0.25">
      <c r="B73" s="98">
        <v>67</v>
      </c>
      <c r="C73" s="99">
        <v>7.4000000000000003E-3</v>
      </c>
      <c r="E73" s="88">
        <v>67</v>
      </c>
      <c r="F73" s="100">
        <v>3.9849999999999998E-3</v>
      </c>
      <c r="H73" s="88">
        <v>68</v>
      </c>
      <c r="I73" s="101">
        <v>5.7790000000000003E-3</v>
      </c>
      <c r="R73" s="109"/>
    </row>
    <row r="74" spans="2:18" x14ac:dyDescent="0.25">
      <c r="B74" s="98">
        <v>68</v>
      </c>
      <c r="C74" s="99">
        <v>8.1600000000000006E-3</v>
      </c>
      <c r="E74" s="88">
        <v>68</v>
      </c>
      <c r="F74" s="102">
        <v>4.2789999999999998E-3</v>
      </c>
      <c r="H74" s="88">
        <v>69</v>
      </c>
      <c r="I74" s="93">
        <v>6.1269999999999996E-3</v>
      </c>
      <c r="R74" s="109"/>
    </row>
    <row r="75" spans="2:18" x14ac:dyDescent="0.25">
      <c r="B75" s="98">
        <v>69</v>
      </c>
      <c r="C75" s="99">
        <v>9.0150000000000004E-3</v>
      </c>
      <c r="E75" s="88">
        <v>69</v>
      </c>
      <c r="F75" s="100">
        <v>4.5900000000000003E-3</v>
      </c>
      <c r="H75" s="88">
        <v>70</v>
      </c>
      <c r="I75" s="101">
        <v>6.5030000000000001E-3</v>
      </c>
      <c r="R75" s="109"/>
    </row>
    <row r="76" spans="2:18" x14ac:dyDescent="0.25">
      <c r="B76" s="98">
        <v>70</v>
      </c>
      <c r="C76" s="99">
        <v>9.9769999999999998E-3</v>
      </c>
      <c r="E76" s="88">
        <v>70</v>
      </c>
      <c r="F76" s="102">
        <v>4.9199999999999999E-3</v>
      </c>
      <c r="H76" s="88">
        <v>71</v>
      </c>
      <c r="I76" s="93">
        <v>6.9080000000000001E-3</v>
      </c>
    </row>
    <row r="77" spans="2:18" x14ac:dyDescent="0.25">
      <c r="B77" s="98">
        <v>71</v>
      </c>
      <c r="C77" s="99">
        <v>1.1061E-2</v>
      </c>
      <c r="E77" s="88">
        <v>71</v>
      </c>
      <c r="F77" s="100">
        <v>5.2680000000000001E-3</v>
      </c>
      <c r="H77" s="88">
        <v>72</v>
      </c>
      <c r="I77" s="101">
        <v>7.3460000000000001E-3</v>
      </c>
    </row>
    <row r="78" spans="2:18" x14ac:dyDescent="0.25">
      <c r="B78" s="98">
        <v>72</v>
      </c>
      <c r="C78" s="99">
        <v>1.2285000000000001E-2</v>
      </c>
      <c r="E78" s="88">
        <v>72</v>
      </c>
      <c r="F78" s="102">
        <v>5.6350000000000003E-3</v>
      </c>
      <c r="H78" s="88">
        <v>73</v>
      </c>
      <c r="I78" s="93">
        <v>7.8189999999999996E-3</v>
      </c>
    </row>
    <row r="79" spans="2:18" x14ac:dyDescent="0.25">
      <c r="B79" s="98">
        <v>73</v>
      </c>
      <c r="C79" s="99">
        <v>1.3668E-2</v>
      </c>
      <c r="E79" s="88">
        <v>73</v>
      </c>
      <c r="F79" s="100">
        <v>6.0229999999999997E-3</v>
      </c>
      <c r="H79" s="88">
        <v>74</v>
      </c>
      <c r="I79" s="93">
        <v>8.3309999999999999E-3</v>
      </c>
    </row>
    <row r="80" spans="2:18" x14ac:dyDescent="0.25">
      <c r="B80" s="98">
        <v>74</v>
      </c>
      <c r="C80" s="99">
        <v>1.5235E-2</v>
      </c>
      <c r="E80" s="88">
        <v>74</v>
      </c>
      <c r="F80" s="100">
        <v>6.4320000000000002E-3</v>
      </c>
      <c r="H80" s="88">
        <v>75</v>
      </c>
      <c r="I80" s="101">
        <v>8.8850000000000005E-3</v>
      </c>
    </row>
    <row r="81" spans="2:9" x14ac:dyDescent="0.25">
      <c r="B81" s="98">
        <v>75</v>
      </c>
      <c r="C81" s="99">
        <v>1.7009E-2</v>
      </c>
      <c r="E81" s="88">
        <v>75</v>
      </c>
      <c r="F81" s="102">
        <v>6.862E-3</v>
      </c>
      <c r="H81" s="88">
        <v>76</v>
      </c>
      <c r="I81" s="93">
        <v>9.4859999999999996E-3</v>
      </c>
    </row>
    <row r="82" spans="2:9" x14ac:dyDescent="0.25">
      <c r="B82" s="98">
        <v>76</v>
      </c>
      <c r="C82" s="99">
        <v>1.9023999999999999E-2</v>
      </c>
      <c r="E82" s="88">
        <v>76</v>
      </c>
      <c r="F82" s="100">
        <v>7.3159999999999996E-3</v>
      </c>
      <c r="H82" s="88">
        <v>77</v>
      </c>
      <c r="I82" s="101">
        <v>1.0137E-2</v>
      </c>
    </row>
    <row r="83" spans="2:9" x14ac:dyDescent="0.25">
      <c r="B83" s="98">
        <v>77</v>
      </c>
      <c r="C83" s="99">
        <v>2.1312000000000001E-2</v>
      </c>
      <c r="E83" s="88">
        <v>77</v>
      </c>
      <c r="F83" s="102">
        <v>7.7929999999999996E-3</v>
      </c>
      <c r="H83" s="88">
        <v>78</v>
      </c>
      <c r="I83" s="93">
        <v>1.0843E-2</v>
      </c>
    </row>
    <row r="84" spans="2:9" x14ac:dyDescent="0.25">
      <c r="B84" s="98">
        <v>78</v>
      </c>
      <c r="C84" s="99">
        <v>2.3914999999999999E-2</v>
      </c>
      <c r="E84" s="88">
        <v>78</v>
      </c>
      <c r="F84" s="100">
        <v>8.2939999999999993E-3</v>
      </c>
      <c r="H84" s="88">
        <v>79</v>
      </c>
      <c r="I84" s="101">
        <v>1.1609E-2</v>
      </c>
    </row>
    <row r="85" spans="2:9" x14ac:dyDescent="0.25">
      <c r="B85" s="98">
        <v>79</v>
      </c>
      <c r="C85" s="99">
        <v>2.6879E-2</v>
      </c>
      <c r="E85" s="88">
        <v>79</v>
      </c>
      <c r="F85" s="102">
        <v>8.8210000000000007E-3</v>
      </c>
      <c r="H85" s="88">
        <v>80</v>
      </c>
      <c r="I85" s="93">
        <v>1.2442E-2</v>
      </c>
    </row>
    <row r="86" spans="2:9" x14ac:dyDescent="0.25">
      <c r="B86" s="98">
        <v>80</v>
      </c>
      <c r="C86" s="99">
        <v>3.0256999999999999E-2</v>
      </c>
      <c r="E86" s="88">
        <v>80</v>
      </c>
      <c r="F86" s="100">
        <v>9.3740000000000004E-3</v>
      </c>
      <c r="H86" s="88">
        <v>81</v>
      </c>
      <c r="I86" s="101">
        <v>1.3346999999999999E-2</v>
      </c>
    </row>
    <row r="87" spans="2:9" x14ac:dyDescent="0.25">
      <c r="B87" s="98">
        <v>81</v>
      </c>
      <c r="C87" s="99">
        <v>3.4110000000000001E-2</v>
      </c>
      <c r="E87" s="88">
        <v>81</v>
      </c>
      <c r="F87" s="102">
        <v>9.9550000000000003E-3</v>
      </c>
      <c r="H87" s="88">
        <v>82</v>
      </c>
      <c r="I87" s="93">
        <v>1.4331999999999999E-2</v>
      </c>
    </row>
    <row r="88" spans="2:9" x14ac:dyDescent="0.25">
      <c r="B88" s="98">
        <v>82</v>
      </c>
      <c r="C88" s="99">
        <v>3.8509000000000002E-2</v>
      </c>
      <c r="E88" s="88">
        <v>82</v>
      </c>
      <c r="F88" s="100">
        <v>1.0562999999999999E-2</v>
      </c>
      <c r="H88" s="88">
        <v>83</v>
      </c>
      <c r="I88" s="101">
        <v>1.5403999999999999E-2</v>
      </c>
    </row>
    <row r="89" spans="2:9" x14ac:dyDescent="0.25">
      <c r="B89" s="98">
        <v>83</v>
      </c>
      <c r="C89" s="99">
        <v>4.3533000000000002E-2</v>
      </c>
      <c r="E89" s="88">
        <v>83</v>
      </c>
      <c r="F89" s="102">
        <v>1.1200999999999999E-2</v>
      </c>
      <c r="H89" s="88">
        <v>84</v>
      </c>
      <c r="I89" s="93">
        <v>1.6573000000000001E-2</v>
      </c>
    </row>
    <row r="90" spans="2:9" x14ac:dyDescent="0.25">
      <c r="B90" s="98">
        <v>84</v>
      </c>
      <c r="C90" s="99">
        <v>4.9273999999999998E-2</v>
      </c>
      <c r="E90" s="88">
        <v>84</v>
      </c>
      <c r="F90" s="100">
        <v>1.187E-2</v>
      </c>
      <c r="H90" s="88">
        <v>85</v>
      </c>
      <c r="I90" s="101">
        <v>1.7846000000000001E-2</v>
      </c>
    </row>
    <row r="91" spans="2:9" x14ac:dyDescent="0.25">
      <c r="B91" s="98">
        <v>85</v>
      </c>
      <c r="C91" s="99">
        <v>5.5833000000000001E-2</v>
      </c>
      <c r="E91" s="88">
        <v>85</v>
      </c>
      <c r="F91" s="102">
        <v>1.2569E-2</v>
      </c>
      <c r="H91" s="88">
        <v>86</v>
      </c>
      <c r="I91" s="93">
        <v>1.9234999999999999E-2</v>
      </c>
    </row>
    <row r="92" spans="2:9" x14ac:dyDescent="0.25">
      <c r="B92" s="98">
        <v>86</v>
      </c>
      <c r="C92" s="99">
        <v>6.3328999999999996E-2</v>
      </c>
      <c r="E92" s="88">
        <v>86</v>
      </c>
      <c r="F92" s="100">
        <v>1.3301E-2</v>
      </c>
      <c r="H92" s="88">
        <v>87</v>
      </c>
      <c r="I92" s="101">
        <v>2.0752E-2</v>
      </c>
    </row>
    <row r="93" spans="2:9" x14ac:dyDescent="0.25">
      <c r="B93" s="98">
        <v>87</v>
      </c>
      <c r="C93" s="99">
        <v>7.1888999999999995E-2</v>
      </c>
      <c r="E93" s="88">
        <v>87</v>
      </c>
      <c r="F93" s="102">
        <v>1.4066E-2</v>
      </c>
      <c r="H93" s="88">
        <v>88</v>
      </c>
      <c r="I93" s="93">
        <v>2.2408000000000001E-2</v>
      </c>
    </row>
    <row r="94" spans="2:9" x14ac:dyDescent="0.25">
      <c r="B94" s="98">
        <v>88</v>
      </c>
      <c r="C94" s="99">
        <v>8.1659999999999996E-2</v>
      </c>
      <c r="E94" s="88">
        <v>88</v>
      </c>
      <c r="F94" s="100">
        <v>1.4866000000000001E-2</v>
      </c>
      <c r="H94" s="88">
        <v>89</v>
      </c>
      <c r="I94" s="101">
        <v>2.4218E-2</v>
      </c>
    </row>
    <row r="95" spans="2:9" x14ac:dyDescent="0.25">
      <c r="B95" s="98">
        <v>89</v>
      </c>
      <c r="C95" s="99">
        <v>9.2798000000000005E-2</v>
      </c>
      <c r="E95" s="88">
        <v>89</v>
      </c>
      <c r="F95" s="102">
        <v>1.5701E-2</v>
      </c>
      <c r="H95" s="88">
        <v>90</v>
      </c>
      <c r="I95" s="93">
        <v>2.6197999999999999E-2</v>
      </c>
    </row>
    <row r="96" spans="2:9" x14ac:dyDescent="0.25">
      <c r="B96" s="98">
        <v>90</v>
      </c>
      <c r="C96" s="99">
        <v>0.105476</v>
      </c>
      <c r="E96" s="88">
        <v>90</v>
      </c>
      <c r="F96" s="100">
        <v>1.6573000000000001E-2</v>
      </c>
      <c r="H96" s="88">
        <v>91</v>
      </c>
      <c r="I96" s="101">
        <v>2.8364E-2</v>
      </c>
    </row>
    <row r="97" spans="2:9" x14ac:dyDescent="0.25">
      <c r="B97" s="98">
        <v>91</v>
      </c>
      <c r="C97" s="99">
        <v>0.119875</v>
      </c>
      <c r="E97" s="88">
        <v>91</v>
      </c>
      <c r="F97" s="102">
        <v>1.7482999999999999E-2</v>
      </c>
      <c r="H97" s="88">
        <v>92</v>
      </c>
      <c r="I97" s="93">
        <v>3.0734000000000001E-2</v>
      </c>
    </row>
    <row r="98" spans="2:9" x14ac:dyDescent="0.25">
      <c r="B98" s="98">
        <v>92</v>
      </c>
      <c r="C98" s="99">
        <v>0.136184</v>
      </c>
      <c r="E98" s="88">
        <v>92</v>
      </c>
      <c r="F98" s="100">
        <v>1.8432E-2</v>
      </c>
      <c r="H98" s="88">
        <v>93</v>
      </c>
      <c r="I98" s="101">
        <v>3.3331E-2</v>
      </c>
    </row>
    <row r="99" spans="2:9" x14ac:dyDescent="0.25">
      <c r="B99" s="98">
        <v>93</v>
      </c>
      <c r="C99" s="99">
        <v>0.15459400000000001</v>
      </c>
      <c r="E99" s="88">
        <v>93</v>
      </c>
      <c r="F99" s="102">
        <v>1.9421000000000001E-2</v>
      </c>
      <c r="H99" s="88">
        <v>94</v>
      </c>
      <c r="I99" s="93">
        <v>3.6176E-2</v>
      </c>
    </row>
    <row r="100" spans="2:9" x14ac:dyDescent="0.25">
      <c r="B100" s="98">
        <v>94</v>
      </c>
      <c r="C100" s="99">
        <v>0.175291</v>
      </c>
      <c r="E100" s="88">
        <v>94</v>
      </c>
      <c r="F100" s="100">
        <v>2.0451E-2</v>
      </c>
      <c r="H100" s="88">
        <v>95</v>
      </c>
      <c r="I100" s="101">
        <v>3.9294000000000003E-2</v>
      </c>
    </row>
    <row r="101" spans="2:9" x14ac:dyDescent="0.25">
      <c r="B101" s="98">
        <v>95</v>
      </c>
      <c r="C101" s="99">
        <v>0.19844100000000001</v>
      </c>
      <c r="E101" s="88">
        <v>95</v>
      </c>
      <c r="F101" s="102">
        <v>2.1523E-2</v>
      </c>
      <c r="H101" s="88">
        <v>96</v>
      </c>
      <c r="I101" s="93">
        <v>4.2712E-2</v>
      </c>
    </row>
    <row r="102" spans="2:9" x14ac:dyDescent="0.25">
      <c r="B102" s="98">
        <v>96</v>
      </c>
      <c r="C102" s="99">
        <v>0.22418399999999999</v>
      </c>
      <c r="E102" s="88">
        <v>96</v>
      </c>
      <c r="F102" s="100">
        <v>2.2638999999999999E-2</v>
      </c>
      <c r="H102" s="88">
        <v>97</v>
      </c>
      <c r="I102" s="101">
        <v>4.6461000000000002E-2</v>
      </c>
    </row>
    <row r="103" spans="2:9" x14ac:dyDescent="0.25">
      <c r="B103" s="98">
        <v>97</v>
      </c>
      <c r="C103" s="99">
        <v>0.25261299999999998</v>
      </c>
      <c r="E103" s="88">
        <v>97</v>
      </c>
      <c r="F103" s="102">
        <v>2.3800000000000002E-2</v>
      </c>
      <c r="H103" s="88">
        <v>98</v>
      </c>
      <c r="I103" s="93">
        <v>5.0574000000000001E-2</v>
      </c>
    </row>
    <row r="104" spans="2:9" x14ac:dyDescent="0.25">
      <c r="B104" s="98">
        <v>98</v>
      </c>
      <c r="C104" s="99">
        <v>0.28376000000000001</v>
      </c>
      <c r="E104" s="88">
        <v>98</v>
      </c>
      <c r="F104" s="100">
        <v>2.5006E-2</v>
      </c>
      <c r="H104" s="88">
        <v>99</v>
      </c>
      <c r="I104" s="101">
        <v>5.5085000000000002E-2</v>
      </c>
    </row>
    <row r="105" spans="2:9" x14ac:dyDescent="0.25">
      <c r="B105" s="98">
        <v>99</v>
      </c>
      <c r="C105" s="99">
        <v>0.31757600000000002</v>
      </c>
      <c r="E105" s="88">
        <v>99</v>
      </c>
      <c r="F105" s="102">
        <v>2.6259999999999999E-2</v>
      </c>
      <c r="H105" s="88">
        <v>100</v>
      </c>
      <c r="I105" s="93">
        <v>6.0033999999999997E-2</v>
      </c>
    </row>
    <row r="106" spans="2:9" x14ac:dyDescent="0.25">
      <c r="B106" s="98">
        <v>100</v>
      </c>
      <c r="C106" s="99">
        <v>0.35391899999999998</v>
      </c>
      <c r="E106" s="88">
        <v>100</v>
      </c>
      <c r="F106" s="100">
        <v>2.7563000000000001E-2</v>
      </c>
      <c r="H106" s="88">
        <v>101</v>
      </c>
      <c r="I106" s="101">
        <v>6.5462999999999993E-2</v>
      </c>
    </row>
    <row r="107" spans="2:9" x14ac:dyDescent="0.25">
      <c r="B107" s="98">
        <v>101</v>
      </c>
      <c r="C107" s="99">
        <v>0.39254</v>
      </c>
      <c r="E107" s="88">
        <v>101</v>
      </c>
      <c r="F107" s="102">
        <v>2.8915E-2</v>
      </c>
      <c r="H107" s="88">
        <v>102</v>
      </c>
      <c r="I107" s="93">
        <v>7.1416999999999994E-2</v>
      </c>
    </row>
    <row r="108" spans="2:9" x14ac:dyDescent="0.25">
      <c r="B108" s="98">
        <v>102</v>
      </c>
      <c r="C108" s="99">
        <v>0.43307800000000002</v>
      </c>
      <c r="E108" s="88">
        <v>102</v>
      </c>
      <c r="F108" s="100">
        <v>3.0317E-2</v>
      </c>
      <c r="H108" s="88">
        <v>103</v>
      </c>
      <c r="I108" s="101">
        <v>7.7946000000000001E-2</v>
      </c>
    </row>
    <row r="109" spans="2:9" x14ac:dyDescent="0.25">
      <c r="B109" s="98">
        <v>103</v>
      </c>
      <c r="C109" s="99">
        <v>0.47506799999999999</v>
      </c>
      <c r="E109" s="88">
        <v>103</v>
      </c>
      <c r="F109" s="102">
        <v>3.1772000000000002E-2</v>
      </c>
      <c r="H109" s="88">
        <v>104</v>
      </c>
      <c r="I109" s="93">
        <v>8.5100999999999996E-2</v>
      </c>
    </row>
    <row r="110" spans="2:9" x14ac:dyDescent="0.25">
      <c r="B110" s="98">
        <v>104</v>
      </c>
      <c r="C110" s="99">
        <v>0.51794899999999999</v>
      </c>
      <c r="E110" s="88">
        <v>104</v>
      </c>
      <c r="F110" s="100">
        <v>3.3280999999999998E-2</v>
      </c>
      <c r="H110" s="88">
        <v>105</v>
      </c>
      <c r="I110" s="101">
        <v>9.2938000000000007E-2</v>
      </c>
    </row>
    <row r="111" spans="2:9" x14ac:dyDescent="0.25">
      <c r="B111" s="98">
        <v>105</v>
      </c>
      <c r="C111" s="99">
        <v>0.56109900000000001</v>
      </c>
      <c r="E111" s="88">
        <v>105</v>
      </c>
      <c r="F111" s="102">
        <v>3.4842999999999999E-2</v>
      </c>
      <c r="H111" s="88">
        <v>106</v>
      </c>
      <c r="I111" s="93">
        <v>0.101517</v>
      </c>
    </row>
    <row r="112" spans="2:9" x14ac:dyDescent="0.25">
      <c r="B112" s="98">
        <v>106</v>
      </c>
      <c r="C112" s="99">
        <v>0.60386099999999998</v>
      </c>
      <c r="E112" s="88">
        <v>106</v>
      </c>
      <c r="F112" s="100">
        <v>3.6462000000000001E-2</v>
      </c>
      <c r="H112" s="88">
        <v>107</v>
      </c>
      <c r="I112" s="101">
        <v>0.110898</v>
      </c>
    </row>
    <row r="113" spans="2:9" x14ac:dyDescent="0.25">
      <c r="B113" s="98">
        <v>107</v>
      </c>
      <c r="C113" s="99">
        <v>0.64558899999999997</v>
      </c>
      <c r="E113" s="88">
        <v>107</v>
      </c>
      <c r="F113" s="102">
        <v>3.8137999999999998E-2</v>
      </c>
      <c r="H113" s="88">
        <v>108</v>
      </c>
      <c r="I113" s="93">
        <v>0.121146</v>
      </c>
    </row>
    <row r="114" spans="2:9" x14ac:dyDescent="0.25">
      <c r="B114" s="98">
        <v>108</v>
      </c>
      <c r="C114" s="99">
        <v>0.68568200000000001</v>
      </c>
      <c r="E114" s="88">
        <v>108</v>
      </c>
      <c r="F114" s="100">
        <v>3.9870999999999997E-2</v>
      </c>
      <c r="H114" s="88">
        <v>109</v>
      </c>
      <c r="I114" s="101">
        <v>0.132325</v>
      </c>
    </row>
    <row r="115" spans="2:9" x14ac:dyDescent="0.25">
      <c r="B115" s="98">
        <v>109</v>
      </c>
      <c r="C115" s="99">
        <v>0.72362000000000004</v>
      </c>
      <c r="E115" s="88">
        <v>109</v>
      </c>
      <c r="F115" s="102">
        <v>4.1665000000000001E-2</v>
      </c>
      <c r="H115" s="88">
        <v>110</v>
      </c>
      <c r="I115" s="93">
        <v>0.14450199999999999</v>
      </c>
    </row>
    <row r="116" spans="2:9" x14ac:dyDescent="0.25">
      <c r="B116" s="98">
        <v>110</v>
      </c>
      <c r="C116" s="99">
        <v>0.75899099999999997</v>
      </c>
      <c r="E116" s="88">
        <v>110</v>
      </c>
      <c r="F116" s="100">
        <v>4.3519000000000002E-2</v>
      </c>
    </row>
    <row r="117" spans="2:9" x14ac:dyDescent="0.25">
      <c r="B117" s="98">
        <v>111</v>
      </c>
      <c r="C117" s="99">
        <v>1</v>
      </c>
    </row>
  </sheetData>
  <mergeCells count="27">
    <mergeCell ref="AM9:AR9"/>
    <mergeCell ref="AS9:AW9"/>
    <mergeCell ref="BH8:BQ9"/>
    <mergeCell ref="AY8:BF9"/>
    <mergeCell ref="T8:V9"/>
    <mergeCell ref="W8:AL8"/>
    <mergeCell ref="W9:AE9"/>
    <mergeCell ref="AF9:AG9"/>
    <mergeCell ref="AH9:AI9"/>
    <mergeCell ref="AJ9:AK9"/>
    <mergeCell ref="N20:R20"/>
    <mergeCell ref="N3:N7"/>
    <mergeCell ref="N10:O10"/>
    <mergeCell ref="K26:L26"/>
    <mergeCell ref="O3:R3"/>
    <mergeCell ref="O4:R4"/>
    <mergeCell ref="O5:R5"/>
    <mergeCell ref="O6:R6"/>
    <mergeCell ref="O7:R7"/>
    <mergeCell ref="B3:C3"/>
    <mergeCell ref="E3:F3"/>
    <mergeCell ref="H3:I3"/>
    <mergeCell ref="K3:L3"/>
    <mergeCell ref="E4:E5"/>
    <mergeCell ref="K4:L4"/>
    <mergeCell ref="B4:B5"/>
    <mergeCell ref="C4:C5"/>
  </mergeCells>
  <conditionalFormatting sqref="AO11:AR28 T11:AL28">
    <cfRule type="expression" dxfId="2" priority="22">
      <formula>$T11&lt;&gt;""</formula>
    </cfRule>
  </conditionalFormatting>
  <conditionalFormatting sqref="AS11:AW18">
    <cfRule type="expression" dxfId="1" priority="25">
      <formula>$AS11&lt;&gt;""</formula>
    </cfRule>
  </conditionalFormatting>
  <conditionalFormatting sqref="AM11:AN14">
    <cfRule type="expression" dxfId="0" priority="26">
      <formula>$AM11&lt;&gt;""</formula>
    </cfRule>
  </conditionalFormatting>
  <dataValidations count="1">
    <dataValidation type="custom" allowBlank="1" showErrorMessage="1" errorTitle="No se puede mover este dato" error="Para mover este dato, ve a la hoja de cálculo de prima y mueve la edad." sqref="P12" xr:uid="{99EEDE95-BE60-44D5-A80B-0B92CD28174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Reservas">
                <anchor moveWithCells="1" sizeWithCells="1">
                  <from>
                    <xdr:col>19</xdr:col>
                    <xdr:colOff>9525</xdr:colOff>
                    <xdr:row>1</xdr:row>
                    <xdr:rowOff>0</xdr:rowOff>
                  </from>
                  <to>
                    <xdr:col>21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5EF25-9EDC-4B1B-83CB-C86F1BD29A4F}">
  <sheetPr codeName="Hoja6"/>
  <dimension ref="B2:E27"/>
  <sheetViews>
    <sheetView topLeftCell="D1" zoomScale="70" zoomScaleNormal="70" workbookViewId="0">
      <selection activeCell="E9" sqref="E9:E27"/>
    </sheetView>
  </sheetViews>
  <sheetFormatPr baseColWidth="10" defaultRowHeight="15" x14ac:dyDescent="0.25"/>
  <cols>
    <col min="2" max="2" width="14.85546875" customWidth="1"/>
    <col min="3" max="3" width="37" customWidth="1"/>
    <col min="4" max="4" width="35.85546875" customWidth="1"/>
    <col min="5" max="5" width="32.140625" customWidth="1"/>
  </cols>
  <sheetData>
    <row r="2" spans="2:5" ht="15" customHeight="1" x14ac:dyDescent="0.25"/>
    <row r="3" spans="2:5" ht="15" customHeight="1" x14ac:dyDescent="0.25"/>
    <row r="4" spans="2:5" ht="15" customHeight="1" x14ac:dyDescent="0.25">
      <c r="B4" s="269" t="s">
        <v>192</v>
      </c>
      <c r="C4" s="269"/>
      <c r="D4" s="269"/>
      <c r="E4" s="269"/>
    </row>
    <row r="5" spans="2:5" ht="15" customHeight="1" x14ac:dyDescent="0.25">
      <c r="B5" s="269"/>
      <c r="C5" s="269"/>
      <c r="D5" s="269"/>
      <c r="E5" s="269"/>
    </row>
    <row r="6" spans="2:5" ht="21" customHeight="1" x14ac:dyDescent="0.25">
      <c r="B6" s="269"/>
      <c r="C6" s="269"/>
      <c r="D6" s="269"/>
      <c r="E6" s="269"/>
    </row>
    <row r="7" spans="2:5" ht="21" customHeight="1" x14ac:dyDescent="0.25">
      <c r="B7" s="269"/>
      <c r="C7" s="269"/>
      <c r="D7" s="269"/>
      <c r="E7" s="269"/>
    </row>
    <row r="8" spans="2:5" ht="20.25" x14ac:dyDescent="0.4">
      <c r="B8" s="121" t="s">
        <v>20</v>
      </c>
      <c r="C8" s="121" t="s">
        <v>164</v>
      </c>
      <c r="D8" s="121" t="s">
        <v>144</v>
      </c>
      <c r="E8" s="121" t="s">
        <v>183</v>
      </c>
    </row>
    <row r="9" spans="2:5" x14ac:dyDescent="0.25">
      <c r="B9" s="105">
        <v>0</v>
      </c>
      <c r="C9" s="18">
        <v>0</v>
      </c>
      <c r="D9" s="76">
        <v>660492647.17962241</v>
      </c>
      <c r="E9" s="92">
        <v>660495592.70353806</v>
      </c>
    </row>
    <row r="10" spans="2:5" x14ac:dyDescent="0.25">
      <c r="B10" s="105">
        <v>1</v>
      </c>
      <c r="C10" s="18">
        <v>2576.9791042693814</v>
      </c>
      <c r="D10" s="76">
        <v>639153111.62244129</v>
      </c>
      <c r="E10" s="146">
        <v>639173488.9118048</v>
      </c>
    </row>
    <row r="11" spans="2:5" x14ac:dyDescent="0.25">
      <c r="B11" s="105">
        <v>2</v>
      </c>
      <c r="C11" s="18">
        <v>4996.8186186518733</v>
      </c>
      <c r="D11" s="76">
        <v>616010930.53711855</v>
      </c>
      <c r="E11" s="153">
        <v>616052389.50338745</v>
      </c>
    </row>
    <row r="12" spans="2:5" x14ac:dyDescent="0.25">
      <c r="B12" s="105">
        <v>3</v>
      </c>
      <c r="C12" s="18">
        <v>7232.1092494265567</v>
      </c>
      <c r="D12" s="76">
        <v>591446392.77301359</v>
      </c>
      <c r="E12" s="146">
        <v>591509699.96879077</v>
      </c>
    </row>
    <row r="13" spans="2:5" x14ac:dyDescent="0.25">
      <c r="B13" s="105">
        <v>4</v>
      </c>
      <c r="C13" s="18">
        <v>9251.5232349070666</v>
      </c>
      <c r="D13" s="76">
        <v>565403828.21902287</v>
      </c>
      <c r="E13" s="146">
        <v>565488379.20077372</v>
      </c>
    </row>
    <row r="14" spans="2:5" x14ac:dyDescent="0.25">
      <c r="B14" s="105">
        <v>5</v>
      </c>
      <c r="C14" s="18">
        <v>11018.478318552532</v>
      </c>
      <c r="D14" s="76">
        <v>537044374.49991918</v>
      </c>
      <c r="E14" s="153">
        <v>537151082.30191624</v>
      </c>
    </row>
    <row r="15" spans="2:5" x14ac:dyDescent="0.25">
      <c r="B15" s="105">
        <v>6</v>
      </c>
      <c r="C15" s="18">
        <v>12490.775921983743</v>
      </c>
      <c r="D15" s="76">
        <v>507147702.64847994</v>
      </c>
      <c r="E15" s="146">
        <v>507274043.81730479</v>
      </c>
    </row>
    <row r="16" spans="2:5" x14ac:dyDescent="0.25">
      <c r="B16" s="105">
        <v>7</v>
      </c>
      <c r="C16" s="18">
        <v>13619.941805606881</v>
      </c>
      <c r="D16" s="76">
        <v>475398342.0738858</v>
      </c>
      <c r="E16" s="146">
        <v>475540583.50731105</v>
      </c>
    </row>
    <row r="17" spans="2:5" x14ac:dyDescent="0.25">
      <c r="B17" s="105">
        <v>8</v>
      </c>
      <c r="C17" s="18">
        <v>14350.420001041148</v>
      </c>
      <c r="D17" s="76">
        <v>442273919.67299891</v>
      </c>
      <c r="E17" s="153">
        <v>442427683.87763125</v>
      </c>
    </row>
    <row r="18" spans="2:5" x14ac:dyDescent="0.25">
      <c r="B18" s="105">
        <v>9</v>
      </c>
      <c r="C18" s="18">
        <v>14616.116320685016</v>
      </c>
      <c r="D18" s="76">
        <v>407492739.35910916</v>
      </c>
      <c r="E18" s="146">
        <v>407652673.43997705</v>
      </c>
    </row>
    <row r="19" spans="2:5" x14ac:dyDescent="0.25">
      <c r="B19" s="105">
        <v>10</v>
      </c>
      <c r="C19" s="18">
        <v>14678.455441541475</v>
      </c>
      <c r="D19" s="76">
        <v>370796790.49143988</v>
      </c>
      <c r="E19" s="146">
        <v>370957698.42799789</v>
      </c>
    </row>
    <row r="20" spans="2:5" x14ac:dyDescent="0.25">
      <c r="B20" s="105">
        <v>11</v>
      </c>
      <c r="C20" s="18">
        <v>14491.158018786429</v>
      </c>
      <c r="D20" s="76">
        <v>331919542.24249017</v>
      </c>
      <c r="E20" s="153">
        <v>332075573.46513438</v>
      </c>
    </row>
    <row r="21" spans="2:5" x14ac:dyDescent="0.25">
      <c r="B21" s="105">
        <v>12</v>
      </c>
      <c r="C21" s="18">
        <v>13998.856201148516</v>
      </c>
      <c r="D21" s="76">
        <v>291022612.83478987</v>
      </c>
      <c r="E21" s="146">
        <v>291167895.11750346</v>
      </c>
    </row>
    <row r="22" spans="2:5" x14ac:dyDescent="0.25">
      <c r="B22" s="105">
        <v>13</v>
      </c>
      <c r="C22" s="18">
        <v>13133.428372064011</v>
      </c>
      <c r="D22" s="76">
        <v>247873398.47981367</v>
      </c>
      <c r="E22" s="146">
        <v>248001951.86596474</v>
      </c>
    </row>
    <row r="23" spans="2:5" x14ac:dyDescent="0.25">
      <c r="B23" s="105">
        <v>14</v>
      </c>
      <c r="C23" s="18">
        <v>11819.562475350824</v>
      </c>
      <c r="D23" s="76">
        <v>202807997.80848667</v>
      </c>
      <c r="E23" s="153">
        <v>202914811.83119389</v>
      </c>
    </row>
    <row r="24" spans="2:5" x14ac:dyDescent="0.25">
      <c r="B24" s="105">
        <v>15</v>
      </c>
      <c r="C24" s="18">
        <v>9966.0976957007388</v>
      </c>
      <c r="D24" s="76">
        <v>155616760.3742733</v>
      </c>
      <c r="E24" s="146">
        <v>155697780.89645192</v>
      </c>
    </row>
    <row r="25" spans="2:5" x14ac:dyDescent="0.25">
      <c r="B25" s="105">
        <v>16</v>
      </c>
      <c r="C25" s="18">
        <v>7465.1503879859374</v>
      </c>
      <c r="D25" s="76">
        <v>106044654.32418038</v>
      </c>
      <c r="E25" s="146">
        <v>106097342.17954934</v>
      </c>
    </row>
    <row r="26" spans="2:5" x14ac:dyDescent="0.25">
      <c r="B26" s="105">
        <v>17</v>
      </c>
      <c r="C26" s="18">
        <v>4191.9682029840942</v>
      </c>
      <c r="D26" s="76">
        <v>54221316.614420064</v>
      </c>
      <c r="E26" s="153">
        <v>54245907.396792047</v>
      </c>
    </row>
    <row r="27" spans="2:5" x14ac:dyDescent="0.25">
      <c r="B27" s="105">
        <v>18</v>
      </c>
      <c r="C27" s="18">
        <v>0</v>
      </c>
      <c r="D27" s="133">
        <v>0</v>
      </c>
      <c r="E27" s="92">
        <v>0</v>
      </c>
    </row>
  </sheetData>
  <mergeCells count="1">
    <mergeCell ref="B4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Cálculo de prima</vt:lpstr>
      <vt:lpstr>Cálculo de Prima (Básica)</vt:lpstr>
      <vt:lpstr>Valores Garantizados</vt:lpstr>
      <vt:lpstr>Margen de Riesgo</vt:lpstr>
      <vt:lpstr>Reservas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Rodriguez</dc:creator>
  <cp:lastModifiedBy>Gustavo Rodriguez</cp:lastModifiedBy>
  <dcterms:created xsi:type="dcterms:W3CDTF">2024-03-20T05:12:21Z</dcterms:created>
  <dcterms:modified xsi:type="dcterms:W3CDTF">2024-05-29T10:45:35Z</dcterms:modified>
</cp:coreProperties>
</file>